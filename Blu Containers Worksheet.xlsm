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5e1869b6fdf4297/Documentos/PSM_Modeling_CFA1/"/>
    </mc:Choice>
  </mc:AlternateContent>
  <xr:revisionPtr revIDLastSave="2444" documentId="8_{4EF0635E-7E84-4CBC-B88B-94456EEB76F6}" xr6:coauthVersionLast="47" xr6:coauthVersionMax="47" xr10:uidLastSave="{CF152276-299D-46E7-9453-7FAB0406062E}"/>
  <bookViews>
    <workbookView xWindow="2280" yWindow="2280" windowWidth="14400" windowHeight="8170" tabRatio="845" activeTab="5" xr2:uid="{00000000-000D-0000-FFFF-FFFF00000000}"/>
  </bookViews>
  <sheets>
    <sheet name="Notes " sheetId="23" r:id="rId1"/>
    <sheet name="Cover" sheetId="22" r:id="rId2"/>
    <sheet name="Summary" sheetId="21" r:id="rId3"/>
    <sheet name="Assumptions" sheetId="2" r:id="rId4"/>
    <sheet name="Scenarios" sheetId="7" r:id="rId5"/>
    <sheet name="Model" sheetId="6" r:id="rId6"/>
  </sheets>
  <definedNames>
    <definedName name="_xleta.ROWS" hidden="1" xlm="1">#NAME?</definedName>
    <definedName name="_xlnm.Print_Area" localSheetId="3">Assumptions!$B$2:$O$43,Assumptions!$B$45:$O$77</definedName>
    <definedName name="_xlnm.Print_Area" localSheetId="1">Cover!$A$1:$J$28</definedName>
    <definedName name="_xlnm.Print_Area" localSheetId="4">Scenarios!$B$2:$K$37</definedName>
    <definedName name="_xlnm.Print_Area" localSheetId="2">Summary!$B$2:$Q$67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09" i="6" l="1"/>
  <c r="M305" i="6"/>
  <c r="L293" i="6"/>
  <c r="M293" i="6"/>
  <c r="K293" i="6"/>
  <c r="L301" i="6"/>
  <c r="M301" i="6"/>
  <c r="N301" i="6"/>
  <c r="O301" i="6"/>
  <c r="K301" i="6"/>
  <c r="L138" i="6"/>
  <c r="M138" i="6"/>
  <c r="N138" i="6"/>
  <c r="O138" i="6"/>
  <c r="K138" i="6"/>
  <c r="J142" i="6"/>
  <c r="K309" i="6"/>
  <c r="J309" i="6"/>
  <c r="L318" i="6"/>
  <c r="M318" i="6"/>
  <c r="N318" i="6"/>
  <c r="O318" i="6"/>
  <c r="K318" i="6"/>
  <c r="K97" i="6" s="1"/>
  <c r="K304" i="6"/>
  <c r="F84" i="6"/>
  <c r="J80" i="6" a="1"/>
  <c r="J80" i="6" s="1"/>
  <c r="J306" i="6"/>
  <c r="K91" i="6"/>
  <c r="K164" i="6"/>
  <c r="F164" i="6"/>
  <c r="M137" i="6"/>
  <c r="L136" i="6"/>
  <c r="H165" i="6"/>
  <c r="F64" i="6"/>
  <c r="K300" i="6"/>
  <c r="L300" i="6"/>
  <c r="M300" i="6"/>
  <c r="N300" i="6"/>
  <c r="O300" i="6"/>
  <c r="J348" i="6"/>
  <c r="K345" i="6" s="1"/>
  <c r="L340" i="6"/>
  <c r="M340" i="6"/>
  <c r="N340" i="6"/>
  <c r="O340" i="6"/>
  <c r="K340" i="6"/>
  <c r="L337" i="6"/>
  <c r="L137" i="6" s="1"/>
  <c r="M337" i="6"/>
  <c r="N337" i="6"/>
  <c r="N137" i="6" s="1"/>
  <c r="O337" i="6"/>
  <c r="O137" i="6" s="1"/>
  <c r="K337" i="6"/>
  <c r="K137" i="6" s="1"/>
  <c r="J338" i="6"/>
  <c r="K336" i="6" s="1"/>
  <c r="K308" i="6"/>
  <c r="L308" i="6"/>
  <c r="M308" i="6"/>
  <c r="N308" i="6"/>
  <c r="O308" i="6"/>
  <c r="J308" i="6"/>
  <c r="J304" i="6"/>
  <c r="H301" i="6"/>
  <c r="H298" i="6"/>
  <c r="L507" i="23"/>
  <c r="I503" i="23"/>
  <c r="J503" i="23"/>
  <c r="K503" i="23"/>
  <c r="L503" i="23"/>
  <c r="M503" i="23"/>
  <c r="L317" i="6"/>
  <c r="M317" i="6"/>
  <c r="N317" i="6"/>
  <c r="O317" i="6"/>
  <c r="K317" i="6"/>
  <c r="L314" i="6"/>
  <c r="L299" i="6" s="1"/>
  <c r="M314" i="6"/>
  <c r="M299" i="6" s="1"/>
  <c r="N314" i="6"/>
  <c r="N299" i="6" s="1"/>
  <c r="O314" i="6"/>
  <c r="O299" i="6" s="1"/>
  <c r="K314" i="6"/>
  <c r="K299" i="6" s="1"/>
  <c r="J315" i="6"/>
  <c r="K313" i="6" s="1"/>
  <c r="I504" i="23" s="1"/>
  <c r="L292" i="6"/>
  <c r="M292" i="6"/>
  <c r="N292" i="6"/>
  <c r="O292" i="6"/>
  <c r="K292" i="6"/>
  <c r="J290" i="6"/>
  <c r="K288" i="6" s="1"/>
  <c r="D479" i="23" a="1"/>
  <c r="D479" i="23" s="1"/>
  <c r="I267" i="6"/>
  <c r="K263" i="6"/>
  <c r="K260" i="6"/>
  <c r="L260" i="6"/>
  <c r="M260" i="6"/>
  <c r="N260" i="6"/>
  <c r="O260" i="6"/>
  <c r="K261" i="6"/>
  <c r="L261" i="6"/>
  <c r="M261" i="6"/>
  <c r="N261" i="6"/>
  <c r="O261" i="6"/>
  <c r="K262" i="6"/>
  <c r="L262" i="6"/>
  <c r="M262" i="6"/>
  <c r="N262" i="6"/>
  <c r="O262" i="6"/>
  <c r="L263" i="6"/>
  <c r="M263" i="6"/>
  <c r="N263" i="6"/>
  <c r="O263" i="6"/>
  <c r="L259" i="6"/>
  <c r="M259" i="6"/>
  <c r="N259" i="6"/>
  <c r="O259" i="6"/>
  <c r="K259" i="6"/>
  <c r="K258" i="6" a="1"/>
  <c r="K258" i="6" s="1"/>
  <c r="I268" i="6"/>
  <c r="I269" i="6"/>
  <c r="I270" i="6"/>
  <c r="I271" i="6"/>
  <c r="I266" i="6"/>
  <c r="J266" i="6"/>
  <c r="J267" i="6"/>
  <c r="J268" i="6"/>
  <c r="J269" i="6"/>
  <c r="J270" i="6"/>
  <c r="J262" i="6" s="1"/>
  <c r="J271" i="6"/>
  <c r="I255" i="6"/>
  <c r="J255" i="6"/>
  <c r="L230" i="6"/>
  <c r="M230" i="6"/>
  <c r="N230" i="6"/>
  <c r="O230" i="6"/>
  <c r="K230" i="6"/>
  <c r="E225" i="6"/>
  <c r="D236" i="6" s="1"/>
  <c r="L130" i="6"/>
  <c r="M130" i="6"/>
  <c r="N130" i="6"/>
  <c r="O130" i="6"/>
  <c r="K130" i="6"/>
  <c r="K19" i="6"/>
  <c r="L19" i="6"/>
  <c r="M19" i="6"/>
  <c r="N19" i="6"/>
  <c r="O19" i="6"/>
  <c r="H380" i="23"/>
  <c r="H379" i="23"/>
  <c r="F385" i="23" s="1"/>
  <c r="F387" i="23" s="1"/>
  <c r="F390" i="23" s="1"/>
  <c r="D359" i="23"/>
  <c r="C352" i="23"/>
  <c r="C353" i="23" s="1"/>
  <c r="D348" i="23"/>
  <c r="D352" i="23" s="1"/>
  <c r="D353" i="23" s="1"/>
  <c r="K202" i="6"/>
  <c r="F199" i="6"/>
  <c r="K204" i="6" s="1"/>
  <c r="F200" i="6"/>
  <c r="L129" i="6"/>
  <c r="L203" i="6" s="1"/>
  <c r="M129" i="6"/>
  <c r="M203" i="6" s="1"/>
  <c r="N129" i="6"/>
  <c r="N203" i="6" s="1"/>
  <c r="O129" i="6"/>
  <c r="O203" i="6" s="1"/>
  <c r="K129" i="6"/>
  <c r="K203" i="6" s="1"/>
  <c r="L91" i="6"/>
  <c r="M91" i="6"/>
  <c r="N91" i="6"/>
  <c r="O91" i="6"/>
  <c r="K88" i="6"/>
  <c r="L88" i="6" s="1"/>
  <c r="M88" i="6" s="1"/>
  <c r="E254" i="23"/>
  <c r="E258" i="23"/>
  <c r="E257" i="23" s="1"/>
  <c r="E250" i="23"/>
  <c r="E251" i="23" s="1"/>
  <c r="F213" i="23"/>
  <c r="E220" i="23"/>
  <c r="E218" i="23"/>
  <c r="E221" i="23" s="1"/>
  <c r="F221" i="23" s="1"/>
  <c r="E211" i="23"/>
  <c r="F211" i="23" s="1"/>
  <c r="F69" i="6"/>
  <c r="K66" i="6"/>
  <c r="K65" i="6"/>
  <c r="K64" i="6"/>
  <c r="J44" i="6"/>
  <c r="K40" i="6" a="1"/>
  <c r="K40" i="6" s="1"/>
  <c r="J45" i="6"/>
  <c r="F50" i="6"/>
  <c r="F51" i="6" s="1"/>
  <c r="F52" i="6" s="1"/>
  <c r="F45" i="6"/>
  <c r="F46" i="6" s="1"/>
  <c r="J20" i="6"/>
  <c r="G180" i="23"/>
  <c r="K17" i="6"/>
  <c r="L17" i="6"/>
  <c r="M17" i="6"/>
  <c r="N17" i="6"/>
  <c r="O17" i="6"/>
  <c r="K11" i="6" a="1"/>
  <c r="K11" i="6" s="1"/>
  <c r="K12" i="6" s="1"/>
  <c r="K10" i="6" a="1"/>
  <c r="K10" i="6" s="1"/>
  <c r="D168" i="23"/>
  <c r="H13" i="7" a="1"/>
  <c r="H13" i="7" s="1"/>
  <c r="I13" i="7" a="1"/>
  <c r="I13" i="7" s="1"/>
  <c r="J13" i="7" a="1"/>
  <c r="J13" i="7" s="1"/>
  <c r="K13" i="7" a="1"/>
  <c r="K13" i="7" s="1"/>
  <c r="G13" i="7" a="1"/>
  <c r="G13" i="7" s="1"/>
  <c r="H31" i="7" a="1"/>
  <c r="H31" i="7" s="1"/>
  <c r="I31" i="7" a="1"/>
  <c r="I31" i="7" s="1"/>
  <c r="J31" i="7" a="1"/>
  <c r="J31" i="7" s="1"/>
  <c r="K31" i="7" a="1"/>
  <c r="K31" i="7" s="1"/>
  <c r="G31" i="7" a="1"/>
  <c r="G31" i="7" s="1"/>
  <c r="H27" i="7"/>
  <c r="I27" i="7"/>
  <c r="J27" i="7"/>
  <c r="K27" i="7"/>
  <c r="H28" i="7"/>
  <c r="H24" i="7" s="1" a="1"/>
  <c r="H24" i="7" s="1"/>
  <c r="I28" i="7"/>
  <c r="I24" i="7" s="1" a="1"/>
  <c r="I24" i="7" s="1"/>
  <c r="J28" i="7"/>
  <c r="J24" i="7" s="1" a="1"/>
  <c r="J24" i="7" s="1"/>
  <c r="K28" i="7"/>
  <c r="K24" i="7" s="1" a="1"/>
  <c r="K24" i="7" s="1"/>
  <c r="G28" i="7"/>
  <c r="G24" i="7" s="1" a="1"/>
  <c r="G24" i="7" s="1"/>
  <c r="G27" i="7"/>
  <c r="D84" i="23"/>
  <c r="A28" i="7"/>
  <c r="A27" i="7"/>
  <c r="B2" i="21"/>
  <c r="B2" i="2" s="1"/>
  <c r="B2" i="7" s="1"/>
  <c r="B2" i="6" s="1"/>
  <c r="B32" i="6" s="1"/>
  <c r="J165" i="6"/>
  <c r="I165" i="6"/>
  <c r="I184" i="6"/>
  <c r="H184" i="6"/>
  <c r="I178" i="6"/>
  <c r="H178" i="6"/>
  <c r="I174" i="6"/>
  <c r="H174" i="6"/>
  <c r="I161" i="6"/>
  <c r="H161" i="6"/>
  <c r="J139" i="6"/>
  <c r="I139" i="6"/>
  <c r="H139" i="6"/>
  <c r="J85" i="6"/>
  <c r="J254" i="6" s="1"/>
  <c r="I85" i="6"/>
  <c r="I254" i="6" s="1"/>
  <c r="H85" i="6"/>
  <c r="J184" i="6"/>
  <c r="J178" i="6"/>
  <c r="J174" i="6"/>
  <c r="J161" i="6"/>
  <c r="J131" i="6"/>
  <c r="I131" i="6"/>
  <c r="H131" i="6"/>
  <c r="J102" i="6"/>
  <c r="I102" i="6"/>
  <c r="H102" i="6"/>
  <c r="J13" i="6"/>
  <c r="J10" i="2"/>
  <c r="J49" i="2"/>
  <c r="K49" i="2" s="1"/>
  <c r="L49" i="2" s="1"/>
  <c r="M49" i="2" s="1"/>
  <c r="N49" i="2" s="1"/>
  <c r="G7" i="7"/>
  <c r="K7" i="6" s="1"/>
  <c r="K332" i="6" s="1"/>
  <c r="J9" i="2"/>
  <c r="C15" i="7"/>
  <c r="C26" i="7" s="1"/>
  <c r="E27" i="2"/>
  <c r="C16" i="7"/>
  <c r="C34" i="7" s="1"/>
  <c r="C17" i="7"/>
  <c r="C35" i="7" s="1"/>
  <c r="H89" i="6"/>
  <c r="I89" i="6"/>
  <c r="I125" i="6"/>
  <c r="H125" i="6"/>
  <c r="J89" i="6"/>
  <c r="J125" i="6"/>
  <c r="O324" i="6"/>
  <c r="O31" i="6"/>
  <c r="O277" i="6"/>
  <c r="O243" i="6"/>
  <c r="O219" i="6"/>
  <c r="O147" i="6"/>
  <c r="O113" i="6"/>
  <c r="O72" i="6"/>
  <c r="O191" i="6"/>
  <c r="K136" i="6" l="1"/>
  <c r="L164" i="6"/>
  <c r="M164" i="6" s="1"/>
  <c r="N164" i="6" s="1"/>
  <c r="O164" i="6" s="1"/>
  <c r="N136" i="6"/>
  <c r="O136" i="6"/>
  <c r="M136" i="6"/>
  <c r="I167" i="6"/>
  <c r="B327" i="6"/>
  <c r="K338" i="6"/>
  <c r="L336" i="6" s="1"/>
  <c r="L338" i="6" s="1"/>
  <c r="M336" i="6" s="1"/>
  <c r="M338" i="6" s="1"/>
  <c r="N336" i="6" s="1"/>
  <c r="N338" i="6" s="1"/>
  <c r="O336" i="6" s="1"/>
  <c r="O338" i="6" s="1"/>
  <c r="L505" i="23"/>
  <c r="I505" i="23"/>
  <c r="J504" i="23" s="1"/>
  <c r="M505" i="23"/>
  <c r="K505" i="23"/>
  <c r="J505" i="23"/>
  <c r="J263" i="6"/>
  <c r="J180" i="6"/>
  <c r="J186" i="6" s="1"/>
  <c r="J259" i="6"/>
  <c r="I272" i="6"/>
  <c r="I259" i="6"/>
  <c r="I262" i="6"/>
  <c r="I261" i="6"/>
  <c r="J272" i="6"/>
  <c r="J261" i="6"/>
  <c r="I263" i="6"/>
  <c r="O131" i="6"/>
  <c r="O298" i="6" s="1"/>
  <c r="J260" i="6"/>
  <c r="K315" i="6"/>
  <c r="I260" i="6"/>
  <c r="O204" i="6"/>
  <c r="N131" i="6"/>
  <c r="N298" i="6" s="1"/>
  <c r="K131" i="6"/>
  <c r="K298" i="6" s="1"/>
  <c r="F384" i="23"/>
  <c r="F391" i="23" s="1"/>
  <c r="F394" i="23" s="1"/>
  <c r="M131" i="6"/>
  <c r="M298" i="6" s="1"/>
  <c r="L131" i="6"/>
  <c r="L298" i="6" s="1"/>
  <c r="D233" i="6"/>
  <c r="F383" i="23"/>
  <c r="N204" i="6"/>
  <c r="M204" i="6"/>
  <c r="L204" i="6"/>
  <c r="I180" i="6"/>
  <c r="I186" i="6" s="1"/>
  <c r="K45" i="6"/>
  <c r="L45" i="6" s="1"/>
  <c r="M45" i="6" s="1"/>
  <c r="N45" i="6" s="1"/>
  <c r="O45" i="6" s="1"/>
  <c r="F225" i="23"/>
  <c r="I92" i="6"/>
  <c r="I108" i="6" s="1"/>
  <c r="N88" i="6"/>
  <c r="H92" i="6"/>
  <c r="H95" i="6" s="1"/>
  <c r="H109" i="6" s="1"/>
  <c r="B45" i="2"/>
  <c r="T6" i="21"/>
  <c r="J167" i="6"/>
  <c r="J92" i="6"/>
  <c r="J108" i="6" s="1"/>
  <c r="H167" i="6"/>
  <c r="H142" i="6"/>
  <c r="H144" i="6" s="1"/>
  <c r="I143" i="6" s="1"/>
  <c r="I142" i="6"/>
  <c r="H180" i="6"/>
  <c r="H186" i="6" s="1"/>
  <c r="L64" i="6"/>
  <c r="L65" i="6"/>
  <c r="E225" i="23"/>
  <c r="E224" i="23"/>
  <c r="J46" i="6"/>
  <c r="L66" i="6"/>
  <c r="K44" i="6"/>
  <c r="K67" i="6"/>
  <c r="K13" i="6"/>
  <c r="L12" i="6"/>
  <c r="K20" i="6"/>
  <c r="K83" i="6" s="1"/>
  <c r="M1" i="6"/>
  <c r="C33" i="7"/>
  <c r="B114" i="6"/>
  <c r="B73" i="6"/>
  <c r="B148" i="6"/>
  <c r="B192" i="6"/>
  <c r="H7" i="7"/>
  <c r="L7" i="6" s="1"/>
  <c r="B220" i="6"/>
  <c r="B244" i="6"/>
  <c r="B278" i="6"/>
  <c r="AA8" i="21"/>
  <c r="K8" i="21" s="1"/>
  <c r="K29" i="21" s="1"/>
  <c r="K50" i="21" s="1"/>
  <c r="K119" i="6"/>
  <c r="K283" i="6"/>
  <c r="K249" i="6"/>
  <c r="K78" i="6"/>
  <c r="K197" i="6"/>
  <c r="K153" i="6"/>
  <c r="K37" i="6"/>
  <c r="K225" i="6"/>
  <c r="J7" i="6"/>
  <c r="J332" i="6" s="1"/>
  <c r="I188" i="6" l="1"/>
  <c r="I144" i="6"/>
  <c r="L313" i="6"/>
  <c r="L315" i="6" s="1"/>
  <c r="M313" i="6" s="1"/>
  <c r="M315" i="6" s="1"/>
  <c r="N313" i="6" s="1"/>
  <c r="N315" i="6" s="1"/>
  <c r="K177" i="6"/>
  <c r="O313" i="6"/>
  <c r="O315" i="6" s="1"/>
  <c r="O97" i="6" s="1"/>
  <c r="N97" i="6"/>
  <c r="L119" i="6"/>
  <c r="H320" i="23" s="1"/>
  <c r="L332" i="6"/>
  <c r="K504" i="23"/>
  <c r="L504" i="23" s="1"/>
  <c r="M504" i="23" s="1"/>
  <c r="J274" i="6"/>
  <c r="H188" i="6"/>
  <c r="E207" i="6"/>
  <c r="K207" i="6" s="1"/>
  <c r="I95" i="6"/>
  <c r="I109" i="6" s="1"/>
  <c r="E319" i="23"/>
  <c r="J95" i="6"/>
  <c r="J109" i="6" s="1"/>
  <c r="H108" i="6"/>
  <c r="J188" i="6"/>
  <c r="L1" i="21"/>
  <c r="L1" i="2"/>
  <c r="O88" i="6"/>
  <c r="J143" i="6"/>
  <c r="J144" i="6" s="1"/>
  <c r="K143" i="6" s="1"/>
  <c r="K25" i="6"/>
  <c r="H98" i="6"/>
  <c r="H104" i="6" s="1"/>
  <c r="K84" i="6"/>
  <c r="M64" i="6"/>
  <c r="L44" i="6"/>
  <c r="K46" i="6"/>
  <c r="L67" i="6"/>
  <c r="M65" i="6"/>
  <c r="F224" i="23"/>
  <c r="E226" i="23"/>
  <c r="M66" i="6"/>
  <c r="K22" i="6"/>
  <c r="L20" i="6"/>
  <c r="L84" i="6" s="1"/>
  <c r="M12" i="6"/>
  <c r="L13" i="6"/>
  <c r="L78" i="6"/>
  <c r="L153" i="6"/>
  <c r="I7" i="7"/>
  <c r="J7" i="7" s="1"/>
  <c r="N7" i="6" s="1"/>
  <c r="L37" i="6"/>
  <c r="L225" i="6"/>
  <c r="L197" i="6"/>
  <c r="L249" i="6"/>
  <c r="L251" i="6" s="1"/>
  <c r="L283" i="6"/>
  <c r="AB8" i="21"/>
  <c r="L8" i="21" s="1"/>
  <c r="L29" i="21" s="1"/>
  <c r="L50" i="21" s="1"/>
  <c r="J119" i="6"/>
  <c r="Z8" i="21"/>
  <c r="J8" i="21" s="1"/>
  <c r="J29" i="21" s="1"/>
  <c r="J50" i="21" s="1"/>
  <c r="J283" i="6"/>
  <c r="J37" i="6"/>
  <c r="J153" i="6"/>
  <c r="J249" i="6"/>
  <c r="I7" i="6"/>
  <c r="J197" i="6"/>
  <c r="J78" i="6"/>
  <c r="M97" i="6" l="1"/>
  <c r="L97" i="6"/>
  <c r="E208" i="6"/>
  <c r="L208" i="6" s="1"/>
  <c r="E320" i="23"/>
  <c r="N78" i="6"/>
  <c r="N332" i="6"/>
  <c r="K251" i="6"/>
  <c r="I98" i="6"/>
  <c r="I104" i="6" s="1"/>
  <c r="L207" i="6"/>
  <c r="J98" i="6"/>
  <c r="F220" i="23"/>
  <c r="F222" i="23" s="1"/>
  <c r="F228" i="23" s="1"/>
  <c r="F229" i="23" s="1"/>
  <c r="F226" i="23"/>
  <c r="K85" i="6"/>
  <c r="K254" i="6" s="1"/>
  <c r="L25" i="6"/>
  <c r="L83" i="6"/>
  <c r="M44" i="6"/>
  <c r="L46" i="6"/>
  <c r="N65" i="6"/>
  <c r="M67" i="6"/>
  <c r="N66" i="6"/>
  <c r="N64" i="6"/>
  <c r="N12" i="6"/>
  <c r="M13" i="6"/>
  <c r="M20" i="6"/>
  <c r="L22" i="6"/>
  <c r="N37" i="6"/>
  <c r="N153" i="6"/>
  <c r="K7" i="7"/>
  <c r="E18" i="2" s="1"/>
  <c r="M7" i="6"/>
  <c r="N283" i="6"/>
  <c r="N197" i="6"/>
  <c r="N249" i="6"/>
  <c r="N225" i="6"/>
  <c r="AD8" i="21"/>
  <c r="N8" i="21" s="1"/>
  <c r="N29" i="21" s="1"/>
  <c r="N50" i="21" s="1"/>
  <c r="N119" i="6"/>
  <c r="I119" i="6"/>
  <c r="H7" i="6"/>
  <c r="I37" i="6"/>
  <c r="Y8" i="21"/>
  <c r="I8" i="21" s="1"/>
  <c r="I29" i="21" s="1"/>
  <c r="I50" i="21" s="1"/>
  <c r="I153" i="6"/>
  <c r="I78" i="6"/>
  <c r="I249" i="6"/>
  <c r="I197" i="6"/>
  <c r="J104" i="6" l="1"/>
  <c r="J110" i="6" s="1"/>
  <c r="AC8" i="21"/>
  <c r="M8" i="21" s="1"/>
  <c r="M29" i="21" s="1"/>
  <c r="M50" i="21" s="1"/>
  <c r="M332" i="6"/>
  <c r="M197" i="6"/>
  <c r="M208" i="6" s="1"/>
  <c r="N208" i="6" s="1"/>
  <c r="K266" i="6"/>
  <c r="K157" i="6" s="1"/>
  <c r="J251" i="6"/>
  <c r="J258" i="6" s="1"/>
  <c r="L85" i="6"/>
  <c r="L254" i="6" s="1"/>
  <c r="L266" i="6" s="1"/>
  <c r="L157" i="6" s="1"/>
  <c r="M25" i="6"/>
  <c r="M83" i="6"/>
  <c r="M84" i="6"/>
  <c r="O65" i="6"/>
  <c r="O64" i="6"/>
  <c r="N67" i="6"/>
  <c r="O66" i="6"/>
  <c r="N44" i="6"/>
  <c r="M46" i="6"/>
  <c r="M119" i="6"/>
  <c r="M283" i="6"/>
  <c r="M225" i="6"/>
  <c r="N20" i="6"/>
  <c r="M22" i="6"/>
  <c r="O12" i="6"/>
  <c r="N13" i="6"/>
  <c r="M78" i="6"/>
  <c r="M153" i="6"/>
  <c r="O7" i="6"/>
  <c r="M249" i="6"/>
  <c r="M251" i="6" s="1"/>
  <c r="M37" i="6"/>
  <c r="H153" i="6"/>
  <c r="H119" i="6"/>
  <c r="H197" i="6"/>
  <c r="X8" i="21"/>
  <c r="H8" i="21" s="1"/>
  <c r="H29" i="21" s="1"/>
  <c r="H50" i="21" s="1"/>
  <c r="H78" i="6"/>
  <c r="H249" i="6"/>
  <c r="I251" i="6" s="1"/>
  <c r="I258" i="6" s="1"/>
  <c r="H37" i="6"/>
  <c r="O249" i="6" l="1"/>
  <c r="O251" i="6" s="1"/>
  <c r="O332" i="6"/>
  <c r="M207" i="6"/>
  <c r="N207" i="6" s="1"/>
  <c r="N251" i="6"/>
  <c r="E209" i="6"/>
  <c r="E210" i="6"/>
  <c r="E322" i="23"/>
  <c r="E321" i="23"/>
  <c r="N83" i="6"/>
  <c r="N25" i="6"/>
  <c r="N84" i="6"/>
  <c r="M85" i="6"/>
  <c r="M254" i="6" s="1"/>
  <c r="M266" i="6" s="1"/>
  <c r="M157" i="6" s="1"/>
  <c r="O13" i="6"/>
  <c r="O44" i="6"/>
  <c r="O46" i="6" s="1"/>
  <c r="N46" i="6"/>
  <c r="O67" i="6"/>
  <c r="O197" i="6"/>
  <c r="O20" i="6"/>
  <c r="O84" i="6" s="1"/>
  <c r="N22" i="6"/>
  <c r="O78" i="6"/>
  <c r="O153" i="6"/>
  <c r="O37" i="6"/>
  <c r="AE8" i="21"/>
  <c r="O8" i="21" s="1"/>
  <c r="O29" i="21" s="1"/>
  <c r="O50" i="21" s="1"/>
  <c r="O225" i="6"/>
  <c r="O283" i="6"/>
  <c r="O119" i="6"/>
  <c r="E323" i="23" s="1"/>
  <c r="R207" i="6" l="1"/>
  <c r="R205" i="6"/>
  <c r="E211" i="6"/>
  <c r="O211" i="6" s="1"/>
  <c r="O208" i="6"/>
  <c r="O207" i="6"/>
  <c r="N210" i="6"/>
  <c r="O210" i="6" s="1"/>
  <c r="M209" i="6"/>
  <c r="N209" i="6" s="1"/>
  <c r="R209" i="6"/>
  <c r="R206" i="6"/>
  <c r="R208" i="6"/>
  <c r="O83" i="6"/>
  <c r="O25" i="6"/>
  <c r="N85" i="6"/>
  <c r="N254" i="6" s="1"/>
  <c r="N266" i="6" s="1"/>
  <c r="N157" i="6" s="1"/>
  <c r="O22" i="6"/>
  <c r="N20" i="2" s="1"/>
  <c r="J39" i="6" a="1"/>
  <c r="O85" i="6" l="1"/>
  <c r="O254" i="6" s="1"/>
  <c r="O266" i="6" s="1"/>
  <c r="O157" i="6" s="1"/>
  <c r="O209" i="6"/>
  <c r="L49" i="6"/>
  <c r="L51" i="6"/>
  <c r="L50" i="6"/>
  <c r="M49" i="6"/>
  <c r="M51" i="6"/>
  <c r="M50" i="6"/>
  <c r="N49" i="6"/>
  <c r="N51" i="6"/>
  <c r="N50" i="6"/>
  <c r="O51" i="6"/>
  <c r="O49" i="6"/>
  <c r="O50" i="6"/>
  <c r="J39" i="6"/>
  <c r="L60" i="6"/>
  <c r="O59" i="6"/>
  <c r="K59" i="6"/>
  <c r="M60" i="6"/>
  <c r="N60" i="6"/>
  <c r="K51" i="6"/>
  <c r="O60" i="6"/>
  <c r="K50" i="6"/>
  <c r="L59" i="6"/>
  <c r="L61" i="6" s="1"/>
  <c r="L69" i="6" s="1"/>
  <c r="L87" i="6" s="1"/>
  <c r="K49" i="6"/>
  <c r="M59" i="6"/>
  <c r="N59" i="6"/>
  <c r="K60" i="6"/>
  <c r="L89" i="6" l="1"/>
  <c r="L92" i="6" s="1"/>
  <c r="L255" i="6"/>
  <c r="M52" i="6"/>
  <c r="M54" i="6" s="1"/>
  <c r="N52" i="6"/>
  <c r="N54" i="6" s="1"/>
  <c r="O52" i="6"/>
  <c r="O54" i="6" s="1"/>
  <c r="L52" i="6"/>
  <c r="L54" i="6" s="1"/>
  <c r="N61" i="6"/>
  <c r="N69" i="6" s="1"/>
  <c r="N87" i="6" s="1"/>
  <c r="M61" i="6"/>
  <c r="M69" i="6" s="1"/>
  <c r="M87" i="6" s="1"/>
  <c r="K61" i="6"/>
  <c r="K69" i="6" s="1"/>
  <c r="K87" i="6" s="1"/>
  <c r="K52" i="6"/>
  <c r="K54" i="6" s="1"/>
  <c r="O61" i="6"/>
  <c r="O69" i="6" s="1"/>
  <c r="O87" i="6" s="1"/>
  <c r="M213" i="6"/>
  <c r="M94" i="6" s="1"/>
  <c r="M122" i="6" s="1"/>
  <c r="K213" i="6"/>
  <c r="N213" i="6"/>
  <c r="N94" i="6" s="1"/>
  <c r="N122" i="6" s="1"/>
  <c r="L213" i="6"/>
  <c r="L94" i="6" s="1"/>
  <c r="L122" i="6" s="1"/>
  <c r="O213" i="6"/>
  <c r="O94" i="6" s="1"/>
  <c r="O122" i="6" s="1"/>
  <c r="L95" i="6" l="1"/>
  <c r="L268" i="6"/>
  <c r="L159" i="6" s="1"/>
  <c r="L270" i="6"/>
  <c r="L267" i="6"/>
  <c r="L158" i="6" s="1"/>
  <c r="L269" i="6"/>
  <c r="L160" i="6" s="1"/>
  <c r="L271" i="6"/>
  <c r="M89" i="6"/>
  <c r="M92" i="6" s="1"/>
  <c r="M95" i="6" s="1"/>
  <c r="M255" i="6"/>
  <c r="N89" i="6"/>
  <c r="N92" i="6" s="1"/>
  <c r="N95" i="6" s="1"/>
  <c r="N255" i="6"/>
  <c r="O89" i="6"/>
  <c r="O92" i="6" s="1"/>
  <c r="O95" i="6" s="1"/>
  <c r="O255" i="6"/>
  <c r="K89" i="6"/>
  <c r="K92" i="6" s="1"/>
  <c r="K255" i="6"/>
  <c r="K94" i="6"/>
  <c r="K214" i="6"/>
  <c r="L202" i="6" l="1"/>
  <c r="L214" i="6" s="1"/>
  <c r="K163" i="6"/>
  <c r="K165" i="6" s="1"/>
  <c r="K95" i="6"/>
  <c r="K122" i="6"/>
  <c r="M98" i="6"/>
  <c r="M228" i="6" s="1"/>
  <c r="O98" i="6"/>
  <c r="O228" i="6" s="1"/>
  <c r="N98" i="6"/>
  <c r="N228" i="6" s="1"/>
  <c r="L98" i="6"/>
  <c r="L228" i="6" s="1"/>
  <c r="O271" i="6"/>
  <c r="O269" i="6"/>
  <c r="O160" i="6" s="1"/>
  <c r="O268" i="6"/>
  <c r="O159" i="6" s="1"/>
  <c r="O267" i="6"/>
  <c r="O158" i="6" s="1"/>
  <c r="O270" i="6"/>
  <c r="L272" i="6"/>
  <c r="K270" i="6"/>
  <c r="K268" i="6"/>
  <c r="K159" i="6" s="1"/>
  <c r="K267" i="6"/>
  <c r="K158" i="6" s="1"/>
  <c r="K269" i="6"/>
  <c r="K160" i="6" s="1"/>
  <c r="K271" i="6"/>
  <c r="M271" i="6"/>
  <c r="M268" i="6"/>
  <c r="M159" i="6" s="1"/>
  <c r="M270" i="6"/>
  <c r="M269" i="6"/>
  <c r="M160" i="6" s="1"/>
  <c r="M267" i="6"/>
  <c r="M158" i="6" s="1"/>
  <c r="N268" i="6"/>
  <c r="N159" i="6" s="1"/>
  <c r="N269" i="6"/>
  <c r="N160" i="6" s="1"/>
  <c r="N271" i="6"/>
  <c r="N267" i="6"/>
  <c r="N158" i="6" s="1"/>
  <c r="N270" i="6"/>
  <c r="M202" i="6" l="1"/>
  <c r="M214" i="6" s="1"/>
  <c r="L163" i="6"/>
  <c r="L165" i="6" s="1"/>
  <c r="K98" i="6"/>
  <c r="K228" i="6" s="1"/>
  <c r="N233" i="6"/>
  <c r="O272" i="6"/>
  <c r="K272" i="6"/>
  <c r="N272" i="6"/>
  <c r="M272" i="6"/>
  <c r="N202" i="6" l="1"/>
  <c r="N214" i="6" s="1"/>
  <c r="M163" i="6"/>
  <c r="M165" i="6" s="1"/>
  <c r="O274" i="6"/>
  <c r="O124" i="6" s="1"/>
  <c r="N274" i="6"/>
  <c r="N124" i="6" s="1"/>
  <c r="M233" i="6"/>
  <c r="O231" i="6"/>
  <c r="O236" i="6" s="1"/>
  <c r="O100" i="6" s="1"/>
  <c r="L233" i="6"/>
  <c r="N231" i="6"/>
  <c r="N236" i="6" s="1"/>
  <c r="K231" i="6"/>
  <c r="M231" i="6"/>
  <c r="M236" i="6" s="1"/>
  <c r="M100" i="6" s="1"/>
  <c r="L231" i="6"/>
  <c r="L236" i="6" s="1"/>
  <c r="L100" i="6" s="1"/>
  <c r="O233" i="6"/>
  <c r="K274" i="6"/>
  <c r="K124" i="6" s="1"/>
  <c r="L274" i="6"/>
  <c r="L124" i="6" s="1"/>
  <c r="M274" i="6"/>
  <c r="M124" i="6" s="1"/>
  <c r="K236" i="6" l="1"/>
  <c r="K100" i="6" s="1"/>
  <c r="N237" i="6"/>
  <c r="N100" i="6"/>
  <c r="O202" i="6"/>
  <c r="O214" i="6" s="1"/>
  <c r="O163" i="6" s="1"/>
  <c r="O165" i="6" s="1"/>
  <c r="N163" i="6"/>
  <c r="N165" i="6" s="1"/>
  <c r="M237" i="6"/>
  <c r="L237" i="6"/>
  <c r="O237" i="6"/>
  <c r="K233" i="6"/>
  <c r="K237" i="6" s="1"/>
  <c r="O238" i="6" l="1"/>
  <c r="O101" i="6"/>
  <c r="L238" i="6"/>
  <c r="L101" i="6"/>
  <c r="M238" i="6"/>
  <c r="M101" i="6"/>
  <c r="N238" i="6"/>
  <c r="N101" i="6"/>
  <c r="N123" i="6" s="1"/>
  <c r="K238" i="6"/>
  <c r="K101" i="6"/>
  <c r="N102" i="6" l="1"/>
  <c r="N104" i="6" s="1"/>
  <c r="N341" i="6" s="1"/>
  <c r="M123" i="6"/>
  <c r="M102" i="6"/>
  <c r="M104" i="6" s="1"/>
  <c r="L123" i="6"/>
  <c r="L102" i="6"/>
  <c r="L104" i="6" s="1"/>
  <c r="O123" i="6"/>
  <c r="O102" i="6"/>
  <c r="O104" i="6" s="1"/>
  <c r="K102" i="6"/>
  <c r="K104" i="6" s="1"/>
  <c r="K123" i="6"/>
  <c r="N121" i="6" l="1"/>
  <c r="N125" i="6" s="1"/>
  <c r="N297" i="6" s="1"/>
  <c r="O341" i="6"/>
  <c r="O121" i="6"/>
  <c r="O125" i="6" s="1"/>
  <c r="O297" i="6" s="1"/>
  <c r="L121" i="6"/>
  <c r="L125" i="6" s="1"/>
  <c r="L297" i="6" s="1"/>
  <c r="L341" i="6"/>
  <c r="N346" i="6"/>
  <c r="N342" i="6"/>
  <c r="N347" i="6" s="1"/>
  <c r="M341" i="6"/>
  <c r="M121" i="6"/>
  <c r="M125" i="6" s="1"/>
  <c r="M297" i="6" s="1"/>
  <c r="K121" i="6"/>
  <c r="K125" i="6" s="1"/>
  <c r="K297" i="6" s="1"/>
  <c r="K341" i="6"/>
  <c r="M342" i="6" l="1"/>
  <c r="M347" i="6" s="1"/>
  <c r="M346" i="6"/>
  <c r="N302" i="6"/>
  <c r="L346" i="6"/>
  <c r="L342" i="6"/>
  <c r="L347" i="6" s="1"/>
  <c r="O342" i="6"/>
  <c r="O347" i="6" s="1"/>
  <c r="O346" i="6"/>
  <c r="K342" i="6"/>
  <c r="K347" i="6" s="1"/>
  <c r="K346" i="6"/>
  <c r="O302" i="6" l="1"/>
  <c r="L302" i="6"/>
  <c r="M302" i="6"/>
  <c r="K302" i="6"/>
  <c r="K305" i="6" s="1"/>
  <c r="K348" i="6"/>
  <c r="L345" i="6" s="1"/>
  <c r="L348" i="6" s="1"/>
  <c r="M345" i="6" s="1"/>
  <c r="M348" i="6" s="1"/>
  <c r="N345" i="6" s="1"/>
  <c r="N348" i="6" s="1"/>
  <c r="O345" i="6" s="1"/>
  <c r="O348" i="6" s="1"/>
  <c r="K135" i="6" l="1"/>
  <c r="K139" i="6" s="1"/>
  <c r="K142" i="6" s="1"/>
  <c r="K306" i="6"/>
  <c r="K171" i="6" l="1"/>
  <c r="L304" i="6"/>
  <c r="L309" i="6" s="1"/>
  <c r="K289" i="6"/>
  <c r="K290" i="6" s="1"/>
  <c r="K144" i="6"/>
  <c r="K156" i="6" s="1"/>
  <c r="K161" i="6" s="1"/>
  <c r="K167" i="6" s="1"/>
  <c r="K188" i="6" s="1"/>
  <c r="L288" i="6" l="1"/>
  <c r="L305" i="6" s="1"/>
  <c r="L135" i="6" l="1"/>
  <c r="L139" i="6" s="1"/>
  <c r="L142" i="6" s="1"/>
  <c r="L289" i="6" s="1"/>
  <c r="L290" i="6" s="1"/>
  <c r="L306" i="6"/>
  <c r="M304" i="6" l="1"/>
  <c r="M288" i="6"/>
  <c r="M135" i="6" l="1"/>
  <c r="M139" i="6" s="1"/>
  <c r="M142" i="6" s="1"/>
  <c r="M289" i="6" s="1"/>
  <c r="M290" i="6" s="1"/>
  <c r="N288" i="6" s="1"/>
  <c r="N293" i="6" s="1"/>
  <c r="L143" i="6"/>
  <c r="L144" i="6" s="1"/>
  <c r="M306" i="6" l="1"/>
  <c r="N304" i="6" s="1"/>
  <c r="N309" i="6" s="1"/>
  <c r="M143" i="6"/>
  <c r="M144" i="6" s="1"/>
  <c r="L156" i="6"/>
  <c r="L161" i="6" s="1"/>
  <c r="L167" i="6" s="1"/>
  <c r="L188" i="6" s="1"/>
  <c r="N305" i="6" l="1"/>
  <c r="N135" i="6" s="1"/>
  <c r="N139" i="6" s="1"/>
  <c r="N142" i="6" s="1"/>
  <c r="N289" i="6" s="1"/>
  <c r="N290" i="6" s="1"/>
  <c r="O288" i="6" s="1"/>
  <c r="O293" i="6" s="1"/>
  <c r="N143" i="6"/>
  <c r="M156" i="6"/>
  <c r="M161" i="6" s="1"/>
  <c r="M167" i="6" s="1"/>
  <c r="M188" i="6" s="1"/>
  <c r="N144" i="6" l="1"/>
  <c r="O143" i="6" s="1"/>
  <c r="N306" i="6"/>
  <c r="O304" i="6" s="1"/>
  <c r="O309" i="6" s="1"/>
  <c r="N156" i="6" l="1"/>
  <c r="N161" i="6" s="1"/>
  <c r="N167" i="6" s="1"/>
  <c r="N188" i="6" s="1"/>
  <c r="O305" i="6"/>
  <c r="O135" i="6" s="1"/>
  <c r="O139" i="6" s="1"/>
  <c r="O142" i="6" s="1"/>
  <c r="O289" i="6" s="1"/>
  <c r="O290" i="6" s="1"/>
  <c r="O306" i="6"/>
  <c r="O144" i="6" l="1"/>
  <c r="O156" i="6" s="1"/>
  <c r="O161" i="6" s="1"/>
  <c r="O167" i="6" s="1"/>
  <c r="O18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Khashayar Zarekarizi</author>
  </authors>
  <commentList>
    <comment ref="F98" authorId="0" shapeId="0" xr:uid="{1E554010-D9D8-4F19-8110-6C648435CE84}">
      <text>
        <r>
          <rPr>
            <b/>
            <sz val="9"/>
            <color indexed="81"/>
            <rFont val="Tahoma"/>
            <family val="2"/>
          </rPr>
          <t>Khashayar Zarekarizi:</t>
        </r>
        <r>
          <rPr>
            <sz val="9"/>
            <color indexed="81"/>
            <rFont val="Tahoma"/>
            <family val="2"/>
          </rPr>
          <t xml:space="preserve">
switch 2023 int exp back to k18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<sst xmlns="http://schemas.openxmlformats.org/spreadsheetml/2006/main" count="862" uniqueCount="683">
  <si>
    <t>Pricing Case</t>
  </si>
  <si>
    <t>Pricing</t>
  </si>
  <si>
    <t>Projected</t>
  </si>
  <si>
    <t>Net Revenue</t>
  </si>
  <si>
    <t>Cost of Sales</t>
  </si>
  <si>
    <t>EBITDA</t>
  </si>
  <si>
    <t>Depreciation &amp; Amortization</t>
  </si>
  <si>
    <t>EBIT</t>
  </si>
  <si>
    <t>Net Income</t>
  </si>
  <si>
    <t>Operating Activities</t>
  </si>
  <si>
    <t>Other</t>
  </si>
  <si>
    <t>Operating Cash Flow</t>
  </si>
  <si>
    <t>ASSETS</t>
  </si>
  <si>
    <t>Cash</t>
  </si>
  <si>
    <t>Accounts Receivable</t>
  </si>
  <si>
    <t>Inventory</t>
  </si>
  <si>
    <t>Total Current Assets</t>
  </si>
  <si>
    <t>Net PP&amp;E</t>
  </si>
  <si>
    <t>Total Assets</t>
  </si>
  <si>
    <t>LIABILITIES AND EQUITY</t>
  </si>
  <si>
    <t>Accounts Payable</t>
  </si>
  <si>
    <t>Total Current Liabilities</t>
  </si>
  <si>
    <t>Total Long Term Liabilities</t>
  </si>
  <si>
    <t>Total Liabilities</t>
  </si>
  <si>
    <t>Shareholder's Equity</t>
  </si>
  <si>
    <t>Total Liabilities and Equity</t>
  </si>
  <si>
    <t>Check</t>
  </si>
  <si>
    <t>Days In</t>
  </si>
  <si>
    <t>Account Balances</t>
  </si>
  <si>
    <t>Net Working Capital</t>
  </si>
  <si>
    <t>A</t>
  </si>
  <si>
    <t>B</t>
  </si>
  <si>
    <t>Variable Costs</t>
  </si>
  <si>
    <t>Total Variable Costs</t>
  </si>
  <si>
    <t>Fixed Costs</t>
  </si>
  <si>
    <t>Income Statement</t>
  </si>
  <si>
    <t>Margins</t>
  </si>
  <si>
    <t>EBITDA Margin</t>
  </si>
  <si>
    <t>EBIT Margin</t>
  </si>
  <si>
    <t>Depreciation to Existing Assets</t>
  </si>
  <si>
    <t>Total Depreciation</t>
  </si>
  <si>
    <t>Revenue</t>
  </si>
  <si>
    <t>Gross Revenue</t>
  </si>
  <si>
    <t>Total Costs</t>
  </si>
  <si>
    <t>Depreciation</t>
  </si>
  <si>
    <t>Cash Flow Statement</t>
  </si>
  <si>
    <t>Income Tax Schedule</t>
  </si>
  <si>
    <t>Working Capital Schedule</t>
  </si>
  <si>
    <t>Total Fixed Costs</t>
  </si>
  <si>
    <t>Freight &amp; Warehousing</t>
  </si>
  <si>
    <t>Implied Operating Rate</t>
  </si>
  <si>
    <t>CAPEX</t>
  </si>
  <si>
    <t>Change in the Cash Position</t>
  </si>
  <si>
    <t>Beginning Cash</t>
  </si>
  <si>
    <t>Ending Cash</t>
  </si>
  <si>
    <t>Base Case</t>
  </si>
  <si>
    <t>Best Case</t>
  </si>
  <si>
    <t>Worst Case</t>
  </si>
  <si>
    <t>(days)</t>
  </si>
  <si>
    <t xml:space="preserve">Gross Sales Price </t>
  </si>
  <si>
    <t>Debt and Interest Schedule</t>
  </si>
  <si>
    <t>Net Sales Price</t>
  </si>
  <si>
    <t>Annual Interest Expense</t>
  </si>
  <si>
    <t>Annual Interest Income</t>
  </si>
  <si>
    <t>Financing Activities</t>
  </si>
  <si>
    <t>Interest Expense</t>
  </si>
  <si>
    <t>Net Interest Expense</t>
  </si>
  <si>
    <t>EBT</t>
  </si>
  <si>
    <t>(000's units)</t>
  </si>
  <si>
    <t>COSTS PER UNIT</t>
  </si>
  <si>
    <t>The product pricing cases used in the model are as follows:</t>
  </si>
  <si>
    <t>-</t>
  </si>
  <si>
    <t>GENERAL</t>
  </si>
  <si>
    <t>PRODUCT PRICING</t>
  </si>
  <si>
    <t>OPERATIONS</t>
  </si>
  <si>
    <t>TAXES</t>
  </si>
  <si>
    <t>COSTS</t>
  </si>
  <si>
    <t>Cost Item</t>
  </si>
  <si>
    <t>Increases</t>
  </si>
  <si>
    <t>Inflation on a unit basis</t>
  </si>
  <si>
    <t>DEPRECIATION</t>
  </si>
  <si>
    <t>ECONOMIC SCENARIOS</t>
  </si>
  <si>
    <t>Current Income Taxes</t>
  </si>
  <si>
    <t>Total Income Taxes</t>
  </si>
  <si>
    <t>Tax Rate</t>
  </si>
  <si>
    <t>Taxes as Appearing on Income Statement</t>
  </si>
  <si>
    <t>Total Income Taxes (Same as Accounting Taxes Above)</t>
  </si>
  <si>
    <t>Cost Inflation</t>
  </si>
  <si>
    <t>SCENARIO SWITCH:</t>
  </si>
  <si>
    <t>Revenue Schedule</t>
  </si>
  <si>
    <t>Capital Expenditures</t>
  </si>
  <si>
    <t>Investing Activities</t>
  </si>
  <si>
    <t>Investing Cash Flow</t>
  </si>
  <si>
    <t>Financing Cash Flow</t>
  </si>
  <si>
    <t>Balance Sheet</t>
  </si>
  <si>
    <t>Days per Year</t>
  </si>
  <si>
    <t>Inputs and Assumptions</t>
  </si>
  <si>
    <t>SALES SCENARIOS</t>
  </si>
  <si>
    <t>Sales Volume Growth</t>
  </si>
  <si>
    <t>(%)</t>
  </si>
  <si>
    <t>Sales Volume</t>
  </si>
  <si>
    <t>Annual Sales Volume</t>
  </si>
  <si>
    <t>Change in Working Capital</t>
  </si>
  <si>
    <t>Common Shares</t>
  </si>
  <si>
    <t>Retained Earnings</t>
  </si>
  <si>
    <t>EQUITY</t>
  </si>
  <si>
    <t>Common Dividend Payout Rate</t>
  </si>
  <si>
    <t>Common Stock Issuance / (Buy-back)</t>
  </si>
  <si>
    <t>Common Shares Issuance/ (Buy-Back)</t>
  </si>
  <si>
    <t>Common Dividends</t>
  </si>
  <si>
    <t>Return on Equity</t>
  </si>
  <si>
    <t>Changes in working capital</t>
  </si>
  <si>
    <t>FINANCING COMPONENT</t>
  </si>
  <si>
    <t>and sales volume growth</t>
  </si>
  <si>
    <t>Revolver</t>
  </si>
  <si>
    <t>Senior Secured Term Debt</t>
  </si>
  <si>
    <t>Revolver Issuance / (Repayment)</t>
  </si>
  <si>
    <t>Term Debt Issuance / (Repayment)</t>
  </si>
  <si>
    <t>Bank Debt - Revolver</t>
  </si>
  <si>
    <t>FCF After Mandatory Debt Repayment and Dividend</t>
  </si>
  <si>
    <t>Research Forecast</t>
  </si>
  <si>
    <t xml:space="preserve"> </t>
  </si>
  <si>
    <t>Depreciation Years on New Assets:</t>
  </si>
  <si>
    <t>Income Statement Items</t>
  </si>
  <si>
    <t>First year of forecast in financial model:</t>
  </si>
  <si>
    <t>per Unit</t>
  </si>
  <si>
    <t>MM</t>
  </si>
  <si>
    <t>Deferred Income Taxes</t>
  </si>
  <si>
    <t>Increase (Decrease) in Deferred Income Taxes</t>
  </si>
  <si>
    <t>SUMMARY VALUES - BASE CASE</t>
  </si>
  <si>
    <t xml:space="preserve">   Growth</t>
  </si>
  <si>
    <t xml:space="preserve">   Margin</t>
  </si>
  <si>
    <t>SUMMARY VALUES - WORST CASE</t>
  </si>
  <si>
    <t>OTHER ASSUMPTIONS</t>
  </si>
  <si>
    <t>Working Capital Days</t>
  </si>
  <si>
    <t>Change in Debt &amp; Equity</t>
  </si>
  <si>
    <t>Cost Adjustments - Gain/(Loss)</t>
  </si>
  <si>
    <t>Investing Activities - Other</t>
  </si>
  <si>
    <t>Prepaid Expenses</t>
  </si>
  <si>
    <t>Three scenarios have been used for Inflation, Product Pricing</t>
  </si>
  <si>
    <t>(MM)</t>
  </si>
  <si>
    <t>Sales Price - $/Unit</t>
  </si>
  <si>
    <t>($/unit)</t>
  </si>
  <si>
    <t>($ Millions)</t>
  </si>
  <si>
    <t>Income Tax</t>
  </si>
  <si>
    <t xml:space="preserve">Accounting EBT (as is on I/S)   </t>
  </si>
  <si>
    <t>Government EBT</t>
  </si>
  <si>
    <t>(1) Assumes aggregate reduction in government pre-tax earnings due to timing differences between accounting and government rules.</t>
  </si>
  <si>
    <t>Reduction in EBT for timing differences</t>
  </si>
  <si>
    <t>Total Long Term Assets</t>
  </si>
  <si>
    <t>Summary Outputs</t>
  </si>
  <si>
    <t>SUMMARY VALUES - BEST CASE</t>
  </si>
  <si>
    <t>Costs of Production Schedule</t>
  </si>
  <si>
    <t>COSTS IN MILLIONS</t>
  </si>
  <si>
    <t>INTEREST RATES</t>
  </si>
  <si>
    <r>
      <t xml:space="preserve">Less: Reduction in EBT for timing differences </t>
    </r>
    <r>
      <rPr>
        <vertAlign val="superscript"/>
        <sz val="10"/>
        <rFont val="Arial"/>
        <family val="2"/>
      </rPr>
      <t>(1)</t>
    </r>
  </si>
  <si>
    <t>Senior Term Debt Issuance / (Repayment)</t>
  </si>
  <si>
    <t>Annual Factory Capacity (000's units):</t>
  </si>
  <si>
    <t>Inflation on a total basis</t>
  </si>
  <si>
    <t>Economic and Sales Scenarios</t>
  </si>
  <si>
    <t>Trend</t>
  </si>
  <si>
    <t>Powered by:</t>
  </si>
  <si>
    <t>Practical Skills Module: Financial Modeling</t>
  </si>
  <si>
    <t>Years Remaining Existing Assets:</t>
  </si>
  <si>
    <t>Financial Model Worksheet - Vertical Orientation</t>
  </si>
  <si>
    <t xml:space="preserve">Blu Containers Company </t>
  </si>
  <si>
    <t xml:space="preserve">1. Front end </t>
  </si>
  <si>
    <t xml:space="preserve"> cover, executive summary assumptionns, scenarios </t>
  </si>
  <si>
    <t xml:space="preserve">2. The Engine </t>
  </si>
  <si>
    <t>-All the calculations and statements</t>
  </si>
  <si>
    <t xml:space="preserve">3. output Calculations </t>
  </si>
  <si>
    <t>-ratios valuations, DCF, IRR</t>
  </si>
  <si>
    <t>Cover Page</t>
  </si>
  <si>
    <t xml:space="preserve">makes model look professional </t>
  </si>
  <si>
    <t xml:space="preserve">The company name should only be entered once and then linked anywhere else </t>
  </si>
  <si>
    <t xml:space="preserve">Alternative Approach </t>
  </si>
  <si>
    <t>conver page</t>
  </si>
  <si>
    <t xml:space="preserve">exec summary </t>
  </si>
  <si>
    <t xml:space="preserve">Assumptions </t>
  </si>
  <si>
    <t xml:space="preserve">Scenarios </t>
  </si>
  <si>
    <t>5. Financial statements</t>
  </si>
  <si>
    <t xml:space="preserve">6. Operating Schedules - revs and costs </t>
  </si>
  <si>
    <t xml:space="preserve">7. Financial / Supporting schedules </t>
  </si>
  <si>
    <t>8. outputs</t>
  </si>
  <si>
    <t xml:space="preserve">point: its all dependant on what best drives the story </t>
  </si>
  <si>
    <t>NOW()</t>
  </si>
  <si>
    <t>Today()</t>
  </si>
  <si>
    <t xml:space="preserve">Executive Summary </t>
  </si>
  <si>
    <t xml:space="preserve">curcial to include </t>
  </si>
  <si>
    <t>its always the first thing people want to check , whats the answer?</t>
  </si>
  <si>
    <t>Must be customized to clients industry etc</t>
  </si>
  <si>
    <t xml:space="preserve">- common items: Revenues, EBITDA, CFLO, margins, growth rates, NPVs IRRS </t>
  </si>
  <si>
    <t>you should include values for your three operating cases ( base best worst)</t>
  </si>
  <si>
    <t>you can include tables charts graphs etc</t>
  </si>
  <si>
    <t xml:space="preserve">first thing to present, last thing to build </t>
  </si>
  <si>
    <t xml:space="preserve">you can plan it up front, but build at end </t>
  </si>
  <si>
    <t xml:space="preserve">make this page look nice </t>
  </si>
  <si>
    <t xml:space="preserve">they have used cfa colors , visuals included , results under each case </t>
  </si>
  <si>
    <t xml:space="preserve">this has to be in dead format , with an additional live case on the side </t>
  </si>
  <si>
    <t xml:space="preserve">Centering Titles </t>
  </si>
  <si>
    <t xml:space="preserve">very common to center titles across page </t>
  </si>
  <si>
    <t xml:space="preserve">people commonly merge cells that isnt optimal </t>
  </si>
  <si>
    <t xml:space="preserve">recommendation is to Centre across Selection </t>
  </si>
  <si>
    <t xml:space="preserve">No Merge and Center option </t>
  </si>
  <si>
    <t xml:space="preserve">difficult to incert a new column </t>
  </si>
  <si>
    <t xml:space="preserve">Ctrol+1 , centre across selection </t>
  </si>
  <si>
    <t>Headers and Footers</t>
  </si>
  <si>
    <t xml:space="preserve">include in every page </t>
  </si>
  <si>
    <t xml:space="preserve">should be customized for ur work </t>
  </si>
  <si>
    <t xml:space="preserve">include things like : File path, date, time, page numbers , etc </t>
  </si>
  <si>
    <t>Alt P S P</t>
  </si>
  <si>
    <t xml:space="preserve">use your descretion to makes model most useful for clients </t>
  </si>
  <si>
    <t xml:space="preserve">Assumptions Tab </t>
  </si>
  <si>
    <t xml:space="preserve">important to put it upfront </t>
  </si>
  <si>
    <t xml:space="preserve">after the summary, client wants to know how you got there </t>
  </si>
  <si>
    <t xml:space="preserve">many models don’t have assumptions this makes it hard for reviewer </t>
  </si>
  <si>
    <t xml:space="preserve">should include all the inpuuts/ assumptions in the model </t>
  </si>
  <si>
    <t xml:space="preserve">makes it eaSY to change the model and read and present it </t>
  </si>
  <si>
    <t xml:space="preserve">very easy to build an assumption tab if you first created a plan </t>
  </si>
  <si>
    <t xml:space="preserve">in this assignemnt email, most assumptions were provided , IRL you build it after you make your plan </t>
  </si>
  <si>
    <t xml:space="preserve">industry convention for colour coding </t>
  </si>
  <si>
    <t xml:space="preserve">Inputs </t>
  </si>
  <si>
    <t xml:space="preserve">Calcs </t>
  </si>
  <si>
    <t xml:space="preserve">Black </t>
  </si>
  <si>
    <t xml:space="preserve">Custom Formatting </t>
  </si>
  <si>
    <t>its often helpful for numbers to have text infront of them</t>
  </si>
  <si>
    <t xml:space="preserve">can be used in formulas, we just used custom formatting for text ( </t>
  </si>
  <si>
    <t xml:space="preserve">advantage, its clear but </t>
  </si>
  <si>
    <t>Every Cell can be formatted 4 diff ways</t>
  </si>
  <si>
    <t xml:space="preserve">always in that order </t>
  </si>
  <si>
    <t>slghjbfbg</t>
  </si>
  <si>
    <t>you just formatted it to show the way you want your cell be formatted based on the type of value in it</t>
  </si>
  <si>
    <t xml:space="preserve">use @ to allow text if you want to allow it </t>
  </si>
  <si>
    <t xml:space="preserve">Pos ; Neg ; Zero ; Text </t>
  </si>
  <si>
    <t xml:space="preserve">Raw Materials </t>
  </si>
  <si>
    <t xml:space="preserve">Utilities </t>
  </si>
  <si>
    <t>Rent</t>
  </si>
  <si>
    <t>Operating Labour</t>
  </si>
  <si>
    <t>SG&amp;A</t>
  </si>
  <si>
    <t xml:space="preserve">Interest Earned on Cash Balances </t>
  </si>
  <si>
    <t>Interest Rate on Bank Revolver</t>
  </si>
  <si>
    <t>Interest Rate on Senior Secured Term Debt</t>
  </si>
  <si>
    <t xml:space="preserve">- </t>
  </si>
  <si>
    <t xml:space="preserve">Depreciation Methodology Used </t>
  </si>
  <si>
    <t>Years remaining for depreciation of existing assets</t>
  </si>
  <si>
    <t xml:space="preserve">Years used for depreciation of new assets </t>
  </si>
  <si>
    <t xml:space="preserve">Additional Tax Assumptions in "Other Assumptions" box </t>
  </si>
  <si>
    <t>Tax rate assumed in the model</t>
  </si>
  <si>
    <t>Accounts Recievable</t>
  </si>
  <si>
    <t>Inventories</t>
  </si>
  <si>
    <t>Prepaid expenses</t>
  </si>
  <si>
    <t xml:space="preserve">Other Assets </t>
  </si>
  <si>
    <t xml:space="preserve">Other Liabilities </t>
  </si>
  <si>
    <t xml:space="preserve">Best Case </t>
  </si>
  <si>
    <t xml:space="preserve">Scenarios Tab </t>
  </si>
  <si>
    <t xml:space="preserve">every model should have it </t>
  </si>
  <si>
    <t xml:space="preserve">its more assumptions </t>
  </si>
  <si>
    <t xml:space="preserve">For these assumptions we have 3 different cases </t>
  </si>
  <si>
    <t>you could have more cases; management, super worse etc</t>
  </si>
  <si>
    <t>why?</t>
  </si>
  <si>
    <t xml:space="preserve">because these are the Key drivers </t>
  </si>
  <si>
    <t>hard to control</t>
  </si>
  <si>
    <t xml:space="preserve">every company has a few of these </t>
  </si>
  <si>
    <t xml:space="preserve">most 2-5 drivers </t>
  </si>
  <si>
    <t xml:space="preserve">3 Steps </t>
  </si>
  <si>
    <t>building a scenario</t>
  </si>
  <si>
    <t>1. Enter the data inputs into the large box</t>
  </si>
  <si>
    <t>Active Case</t>
  </si>
  <si>
    <t xml:space="preserve">make the model switch </t>
  </si>
  <si>
    <t xml:space="preserve">1. IF </t>
  </si>
  <si>
    <t>formula: =IF(D6=1,G14, IF(D6=2,G15,G16))</t>
  </si>
  <si>
    <t>2. Choose option</t>
  </si>
  <si>
    <t xml:space="preserve">not ideal coz hard for finance ppl to read </t>
  </si>
  <si>
    <t xml:space="preserve">Formula= </t>
  </si>
  <si>
    <t>CHOOSE($D$6,G14,G15,G16)</t>
  </si>
  <si>
    <t>3. offset</t>
  </si>
  <si>
    <t>to make a dropdpwn menu</t>
  </si>
  <si>
    <t xml:space="preserve">either data validation in data tab </t>
  </si>
  <si>
    <t>or in developer use the insert dropbox thin</t>
  </si>
  <si>
    <t xml:space="preserve">if you use a data validation choose becomes </t>
  </si>
  <si>
    <t>= choose(match($d9, c14:16, 0),h14,h15,h16)</t>
  </si>
  <si>
    <t xml:space="preserve">1. front end </t>
  </si>
  <si>
    <t xml:space="preserve">2. The engine </t>
  </si>
  <si>
    <t xml:space="preserve">the schedulkes calculations and financial statements </t>
  </si>
  <si>
    <t xml:space="preserve">3. Ouputs </t>
  </si>
  <si>
    <t xml:space="preserve">ratios Valuation: DCF IRR </t>
  </si>
  <si>
    <t xml:space="preserve">Three Main themes on Each page of the Engine </t>
  </si>
  <si>
    <t xml:space="preserve">1. Business Issues </t>
  </si>
  <si>
    <t>- How does this part fo the business actually work?</t>
  </si>
  <si>
    <t xml:space="preserve">- Do you really understand it? </t>
  </si>
  <si>
    <t xml:space="preserve">2. Design Issues </t>
  </si>
  <si>
    <t>- How should each page be optimally designed so that it communicates clearly?</t>
  </si>
  <si>
    <t xml:space="preserve">Units </t>
  </si>
  <si>
    <t xml:space="preserve">3. Technical skills </t>
  </si>
  <si>
    <t>- Do we need any tech skills on each page to ensure it works properly?</t>
  </si>
  <si>
    <t xml:space="preserve">Common Sayings </t>
  </si>
  <si>
    <t xml:space="preserve">1. Repeat and Link </t>
  </si>
  <si>
    <t>- Repeat all assumption efore using them on the model tab</t>
  </si>
  <si>
    <t xml:space="preserve">2. Build it then link it </t>
  </si>
  <si>
    <t xml:space="preserve"> No work on Financial Sttatements </t>
  </si>
  <si>
    <t xml:space="preserve">All Calculations should be on schedules </t>
  </si>
  <si>
    <t xml:space="preserve">Scenario Tab </t>
  </si>
  <si>
    <t xml:space="preserve">it’s a simple formula </t>
  </si>
  <si>
    <t xml:space="preserve">Revenues </t>
  </si>
  <si>
    <t xml:space="preserve">- in many models the forecast for revenue is way too simple </t>
  </si>
  <si>
    <t>- its critical to understand every aspect fo a company's business</t>
  </si>
  <si>
    <t xml:space="preserve">- they just give it a simple growth rate of historical </t>
  </si>
  <si>
    <t xml:space="preserve">annual growth </t>
  </si>
  <si>
    <t xml:space="preserve">Revenue </t>
  </si>
  <si>
    <t>- you have to understand the business</t>
  </si>
  <si>
    <t xml:space="preserve">- Price * volume = revenues </t>
  </si>
  <si>
    <t xml:space="preserve">lets look at the Blue model </t>
  </si>
  <si>
    <t>Annual Factory Capacity</t>
  </si>
  <si>
    <t xml:space="preserve">other industries </t>
  </si>
  <si>
    <t xml:space="preserve">Real estate : sqf * avg price per foot </t>
  </si>
  <si>
    <t xml:space="preserve">coffee shop: avg unit * number of daily sales </t>
  </si>
  <si>
    <t xml:space="preserve">your job is to think about it and get the right schedule in the right way </t>
  </si>
  <si>
    <t>( 000's Units)</t>
  </si>
  <si>
    <t xml:space="preserve">third color to repeat repeating assumptions </t>
  </si>
  <si>
    <t xml:space="preserve">Sales Volume Growth </t>
  </si>
  <si>
    <t xml:space="preserve">(%) </t>
  </si>
  <si>
    <t xml:space="preserve">( 000's Units) </t>
  </si>
  <si>
    <t xml:space="preserve">(000's Units) </t>
  </si>
  <si>
    <t xml:space="preserve">All companies have some constraints </t>
  </si>
  <si>
    <t xml:space="preserve">Capacity Constraint - Op rate </t>
  </si>
  <si>
    <t xml:space="preserve">forecasting Costs </t>
  </si>
  <si>
    <t xml:space="preserve">people also do it super simple as well </t>
  </si>
  <si>
    <t xml:space="preserve">keeps the profit margin constant </t>
  </si>
  <si>
    <t xml:space="preserve">and just forecast costs like that </t>
  </si>
  <si>
    <t>* called forecasting the margin</t>
  </si>
  <si>
    <t xml:space="preserve">whats the problem with this approach ? Understand the company </t>
  </si>
  <si>
    <t>Buiness Issues with Costs</t>
  </si>
  <si>
    <t xml:space="preserve">Fixed Cspts / VC </t>
  </si>
  <si>
    <t xml:space="preserve">very important to understand the fixed variable relationship between each </t>
  </si>
  <si>
    <t xml:space="preserve">IRL if a company 2x revenues by 2x the volume : profits should more than 2x as FC is constant </t>
  </si>
  <si>
    <t xml:space="preserve">VC </t>
  </si>
  <si>
    <t xml:space="preserve">forecast on per unit basis and grow per unit basis </t>
  </si>
  <si>
    <t>FC</t>
  </si>
  <si>
    <t xml:space="preserve">shown in aggregate, grows at inflation/ other growth rate </t>
  </si>
  <si>
    <t xml:space="preserve">Its name is </t>
  </si>
  <si>
    <t xml:space="preserve">Operating leverage </t>
  </si>
  <si>
    <t>Raw Materials</t>
  </si>
  <si>
    <t>($/ Unit)</t>
  </si>
  <si>
    <t xml:space="preserve">Rent </t>
  </si>
  <si>
    <t xml:space="preserve">Operating Labour </t>
  </si>
  <si>
    <t xml:space="preserve">Other </t>
  </si>
  <si>
    <t>($ MM)</t>
  </si>
  <si>
    <t xml:space="preserve">Backing into Costs </t>
  </si>
  <si>
    <t xml:space="preserve">if you don’t have the breakup between fixed and variable costs </t>
  </si>
  <si>
    <t xml:space="preserve">prine-unit </t>
  </si>
  <si>
    <t>uniot growth units (000s)</t>
  </si>
  <si>
    <t xml:space="preserve">you might just know that last year VC were 75% of costs </t>
  </si>
  <si>
    <t xml:space="preserve">rev MMs </t>
  </si>
  <si>
    <t>operating costs</t>
  </si>
  <si>
    <t xml:space="preserve">profti margin </t>
  </si>
  <si>
    <t xml:space="preserve">you just figured out what the last years volume was </t>
  </si>
  <si>
    <t>vc</t>
  </si>
  <si>
    <t>this is the only assumption you need</t>
  </si>
  <si>
    <t>fc</t>
  </si>
  <si>
    <t xml:space="preserve">VC/ MM </t>
  </si>
  <si>
    <t xml:space="preserve">FC/ MM </t>
  </si>
  <si>
    <t xml:space="preserve">vc/ unit </t>
  </si>
  <si>
    <t>fc/ unit</t>
  </si>
  <si>
    <t xml:space="preserve">you cannot grow vc in aggregate( MMs) and FC in units </t>
  </si>
  <si>
    <t>growth rate</t>
  </si>
  <si>
    <t xml:space="preserve">1 forecast VC per unit </t>
  </si>
  <si>
    <t>2. variable costs in aggregate</t>
  </si>
  <si>
    <t>units grow rate</t>
  </si>
  <si>
    <t>3. FC in Aggregate forecasted</t>
  </si>
  <si>
    <t xml:space="preserve">total costs </t>
  </si>
  <si>
    <t xml:space="preserve">total cost per unit </t>
  </si>
  <si>
    <t xml:space="preserve">profit </t>
  </si>
  <si>
    <t xml:space="preserve">4. FC per unit </t>
  </si>
  <si>
    <t xml:space="preserve">Steps in forecasting costs </t>
  </si>
  <si>
    <t xml:space="preserve">how to determine what percentage is variable vs fixed </t>
  </si>
  <si>
    <t xml:space="preserve">operating leverage is the idea that as revenue increases the profit increases at a higher rate </t>
  </si>
  <si>
    <t xml:space="preserve">how do you know if company is experiencing operating leverage? </t>
  </si>
  <si>
    <t xml:space="preserve">you need to look at fixed cost per unit </t>
  </si>
  <si>
    <t xml:space="preserve">notice that the fc per unit is dropping </t>
  </si>
  <si>
    <t xml:space="preserve">because the number of units is growing faster than fcs are growing </t>
  </si>
  <si>
    <t xml:space="preserve">if company is experiecning the op leverage fc per unit goes down </t>
  </si>
  <si>
    <t xml:space="preserve">Semi Variable Costs </t>
  </si>
  <si>
    <t xml:space="preserve">or step function costs - they are like fc but within a certain range of sales volumes </t>
  </si>
  <si>
    <t>ex operating labout you have 100 people up to 150000</t>
  </si>
  <si>
    <t xml:space="preserve">if you have more volume you gotta hire </t>
  </si>
  <si>
    <t xml:space="preserve">for every 25000 units you need to hire 25 ppl </t>
  </si>
  <si>
    <t xml:space="preserve">untis </t>
  </si>
  <si>
    <t xml:space="preserve">max for SVs </t>
  </si>
  <si>
    <t xml:space="preserve">inflation </t>
  </si>
  <si>
    <t xml:space="preserve">vc // unit </t>
  </si>
  <si>
    <t xml:space="preserve">vc/ MM </t>
  </si>
  <si>
    <t>SV</t>
  </si>
  <si>
    <t>u</t>
  </si>
  <si>
    <t xml:space="preserve">FC MM </t>
  </si>
  <si>
    <t xml:space="preserve">units </t>
  </si>
  <si>
    <t>costs</t>
  </si>
  <si>
    <t xml:space="preserve">*Used Vlookup </t>
  </si>
  <si>
    <t>vlookup: what are you looking for, where you are looking for it, which column should I return?</t>
  </si>
  <si>
    <t xml:space="preserve">Build It then Link it </t>
  </si>
  <si>
    <t xml:space="preserve">1. repeat and link </t>
  </si>
  <si>
    <t xml:space="preserve">2. build it then link it </t>
  </si>
  <si>
    <t xml:space="preserve">repeat all assumptions before using them on the model tab </t>
  </si>
  <si>
    <t xml:space="preserve">makes it easy to build and audit </t>
  </si>
  <si>
    <t xml:space="preserve">no work on financial statements </t>
  </si>
  <si>
    <t xml:space="preserve">all calcualtiosn should be done on schedules </t>
  </si>
  <si>
    <t xml:space="preserve">build schedules then link the totals into the fin stats </t>
  </si>
  <si>
    <t xml:space="preserve">options as to when to link the fin stmts </t>
  </si>
  <si>
    <t xml:space="preserve">2. build then link it all at the end </t>
  </si>
  <si>
    <t>1. Do it as you go ( ir build revenue, then link it , build costs, then link …) preferred</t>
  </si>
  <si>
    <t>either of</t>
  </si>
  <si>
    <t xml:space="preserve">these process minimizes errprs and makes the model much easier to check and audit </t>
  </si>
  <si>
    <t>SG &amp; A</t>
  </si>
  <si>
    <t xml:space="preserve">Unit 5 </t>
  </si>
  <si>
    <t>Forecasting Depriciation</t>
  </si>
  <si>
    <t>Lesson 5.1 - Forecasting Depreciation</t>
  </si>
  <si>
    <t>Lesson 5.2 - Depreciation Schedule</t>
  </si>
  <si>
    <t>Lesson 5.3 - Capex with HLOOKUP</t>
  </si>
  <si>
    <t>Lesson 5.4 - Automating HLOOKUP</t>
  </si>
  <si>
    <t>Lesson 5.5 - Capex with SUMIF</t>
  </si>
  <si>
    <t>Lesson 5.6 - Capex with TRANSPOSE</t>
  </si>
  <si>
    <t>Lesson 5.7 - Depreciation Waterfall</t>
  </si>
  <si>
    <t>Lesson 5.8 - Fully Depreciating Assets</t>
  </si>
  <si>
    <t>Lesson 5.9 - Declining Balance Method</t>
  </si>
  <si>
    <t>Lesson 5.10 - Including PP&amp;E</t>
  </si>
  <si>
    <t xml:space="preserve">Why Depriciation Schedule </t>
  </si>
  <si>
    <t xml:space="preserve">because companies have fixed assets and depriciation </t>
  </si>
  <si>
    <t xml:space="preserve">build it then link it approach </t>
  </si>
  <si>
    <t xml:space="preserve">different ways in building schedules </t>
  </si>
  <si>
    <t xml:space="preserve">names of this schedule </t>
  </si>
  <si>
    <t>Dep schedul</t>
  </si>
  <si>
    <t xml:space="preserve">Capex and dep schedule </t>
  </si>
  <si>
    <t xml:space="preserve">fixed asset schedule </t>
  </si>
  <si>
    <t xml:space="preserve">Things to include </t>
  </si>
  <si>
    <t xml:space="preserve">Capex </t>
  </si>
  <si>
    <t>Dep</t>
  </si>
  <si>
    <t>Fixed asset forecast</t>
  </si>
  <si>
    <t xml:space="preserve">Goodwill </t>
  </si>
  <si>
    <t xml:space="preserve">intangibles </t>
  </si>
  <si>
    <t xml:space="preserve">Two Steps </t>
  </si>
  <si>
    <t xml:space="preserve">1. Dep on existing Assets </t>
  </si>
  <si>
    <t xml:space="preserve">2. Dep on New assets </t>
  </si>
  <si>
    <t>Methods</t>
  </si>
  <si>
    <t xml:space="preserve">straightline </t>
  </si>
  <si>
    <t xml:space="preserve">Declininig Balance </t>
  </si>
  <si>
    <t xml:space="preserve">Double declining balance </t>
  </si>
  <si>
    <t>Sum of the years digits( not used often)</t>
  </si>
  <si>
    <t xml:space="preserve">Skills </t>
  </si>
  <si>
    <t xml:space="preserve">Technical skills </t>
  </si>
  <si>
    <t xml:space="preserve">How to fully depriciate the assets withting the life of the model </t>
  </si>
  <si>
    <t xml:space="preserve">Depreciation Schedule </t>
  </si>
  <si>
    <t xml:space="preserve">Waterfall Schedule </t>
  </si>
  <si>
    <t>=HLOOKUP()</t>
  </si>
  <si>
    <t>=sumif()</t>
  </si>
  <si>
    <t>=TRANSPOSE()</t>
  </si>
  <si>
    <t>WHAT ARE YOU LOOKING FOR , WHERE, how many rows down should I drop to get the info you need</t>
  </si>
  <si>
    <t>Vlookup</t>
  </si>
  <si>
    <t>hlookup with a match()</t>
  </si>
  <si>
    <t xml:space="preserve">using a sumif </t>
  </si>
  <si>
    <t>Xlookup</t>
  </si>
  <si>
    <t xml:space="preserve">paste special alt E S </t>
  </si>
  <si>
    <t>alt H V S</t>
  </si>
  <si>
    <t xml:space="preserve">If you want to fully depriciate an asset </t>
  </si>
  <si>
    <t>put a constraint on the dep amount possible</t>
  </si>
  <si>
    <t>=IF(O$197=$D209,($E209/$F$200*0.5),MIN($E209/$F$200,$E209-SUM($J209:N209)))</t>
  </si>
  <si>
    <t>straight line</t>
  </si>
  <si>
    <t>Fixed Assets (PP&amp;E) Schedule</t>
  </si>
  <si>
    <t xml:space="preserve">Fixed asset (PP&amp;E)- Ending </t>
  </si>
  <si>
    <t xml:space="preserve">Fixed Asset (PP&amp;E)- Beginning </t>
  </si>
  <si>
    <t>Plus: CAPEX</t>
  </si>
  <si>
    <t>Introduction to Unit 6: Income Tax</t>
  </si>
  <si>
    <t>There are four lessons in this unit:</t>
  </si>
  <si>
    <t>Lesson 6.1 - Forecasting Income Taxes</t>
  </si>
  <si>
    <t>Lesson 6.2 - Current versus Deferred Tax</t>
  </si>
  <si>
    <t>Lesson 6.3 - Tax Calculation Example</t>
  </si>
  <si>
    <t>Lesson 6.4 - Income Tax Schedule</t>
  </si>
  <si>
    <t xml:space="preserve">usually one of the biggest expenses companies have </t>
  </si>
  <si>
    <t>Common ways to forecast Income Taxes</t>
  </si>
  <si>
    <t>Tax rate</t>
  </si>
  <si>
    <t xml:space="preserve">Income Tax </t>
  </si>
  <si>
    <t xml:space="preserve">NI </t>
  </si>
  <si>
    <t>x22</t>
  </si>
  <si>
    <t>x23</t>
  </si>
  <si>
    <t>Too simple</t>
  </si>
  <si>
    <t xml:space="preserve">this assumes that all of the income tax is paid as cash in current year&gt;&gt; doesn’t happen </t>
  </si>
  <si>
    <t xml:space="preserve">- All companies have 2 line items on the NOL </t>
  </si>
  <si>
    <t xml:space="preserve">current tax </t>
  </si>
  <si>
    <t xml:space="preserve">Deferred Tax </t>
  </si>
  <si>
    <t xml:space="preserve">Income tax </t>
  </si>
  <si>
    <t xml:space="preserve">paid as cash </t>
  </si>
  <si>
    <t xml:space="preserve">May get paid in the future </t>
  </si>
  <si>
    <t>1. accounting rules( gaap , ifrs)</t>
  </si>
  <si>
    <t>2. Governemnt rules ( IRS CRA )</t>
  </si>
  <si>
    <t xml:space="preserve">accounting statements are for investors, we want to make the earnings look as good as possible, the tax statements have incentives to make earnings look as bad as possible </t>
  </si>
  <si>
    <t xml:space="preserve">there are many differences between the 2, the biggest ones are; </t>
  </si>
  <si>
    <t>- govt rules allow accelerated depriciation( to incentivize buying assets)</t>
  </si>
  <si>
    <t>- Depriciation exp: 1. accounting rules depriciate "expected useful life"</t>
  </si>
  <si>
    <t xml:space="preserve">Tax Losses </t>
  </si>
  <si>
    <t xml:space="preserve">carried forward to lower taxable income </t>
  </si>
  <si>
    <t xml:space="preserve">some countries that can be carried back ward </t>
  </si>
  <si>
    <t xml:space="preserve">3. interest deductibility: </t>
  </si>
  <si>
    <t xml:space="preserve">- some govt's limit how much interest can be deducted </t>
  </si>
  <si>
    <t>- this is to discourage taking more debt , applies primarirly in LBOs)</t>
  </si>
  <si>
    <t>Current vs deffered</t>
  </si>
  <si>
    <t xml:space="preserve">- we will not model these differences </t>
  </si>
  <si>
    <t>Ebt ccounting</t>
  </si>
  <si>
    <t xml:space="preserve">rate </t>
  </si>
  <si>
    <t xml:space="preserve">income statement </t>
  </si>
  <si>
    <t xml:space="preserve">2023F </t>
  </si>
  <si>
    <t>Current tax</t>
  </si>
  <si>
    <t>Def tax</t>
  </si>
  <si>
    <t>Total tax</t>
  </si>
  <si>
    <t>Tax</t>
  </si>
  <si>
    <t xml:space="preserve">TY ( govt) </t>
  </si>
  <si>
    <t>cash flow statement</t>
  </si>
  <si>
    <t>NI</t>
  </si>
  <si>
    <t>add back deffered tax</t>
  </si>
  <si>
    <t xml:space="preserve">non cash </t>
  </si>
  <si>
    <t>Balance sheet</t>
  </si>
  <si>
    <t xml:space="preserve">Def Tax liability </t>
  </si>
  <si>
    <t xml:space="preserve">&gt;&gt; has to be cumulative </t>
  </si>
  <si>
    <t xml:space="preserve">Other Expenditures  </t>
  </si>
  <si>
    <t xml:space="preserve">If you want to model the government depriciation/ other results </t>
  </si>
  <si>
    <t>add back accounting dep'n</t>
  </si>
  <si>
    <t>deduct gov't depreciation ( you need a 2nd Depn sched)</t>
  </si>
  <si>
    <t xml:space="preserve">working capital </t>
  </si>
  <si>
    <t xml:space="preserve">CA and CL on BS </t>
  </si>
  <si>
    <t xml:space="preserve">common Wc items </t>
  </si>
  <si>
    <t xml:space="preserve">AR </t>
  </si>
  <si>
    <t xml:space="preserve">AP </t>
  </si>
  <si>
    <t>Inv</t>
  </si>
  <si>
    <t xml:space="preserve">all companies have wc </t>
  </si>
  <si>
    <t xml:space="preserve">most companies don’t like having WC but its necessary </t>
  </si>
  <si>
    <t xml:space="preserve">WC in a Financial model </t>
  </si>
  <si>
    <t xml:space="preserve">-  some CA and CL are interest bearing and some are non interest bearing </t>
  </si>
  <si>
    <t xml:space="preserve">- in a financial model we are talking about the non interest bearing CA and CL </t>
  </si>
  <si>
    <t xml:space="preserve">- This means were excluding CA like Cash , ST invest, and CL like ST Debt </t>
  </si>
  <si>
    <t xml:space="preserve">- it the aggregate change in all non interest bearing Ca and CL during the period </t>
  </si>
  <si>
    <t>- if the company says " non cash working capital " they are being specific so we know they are excluding cash and other int bearing CA/ CL</t>
  </si>
  <si>
    <t xml:space="preserve">Model Schedules </t>
  </si>
  <si>
    <t>- in a model , the interest bearing CA and CL are forecast on the debt schedule</t>
  </si>
  <si>
    <t xml:space="preserve">- the non interst bearing CA and CL are forecast on the WC schedule </t>
  </si>
  <si>
    <t xml:space="preserve">- on the WC schedule ewe calculate the future balances for the BS , and changes in WC for the CF statement </t>
  </si>
  <si>
    <t xml:space="preserve">- The non int bearing CA and CL are the capital items( stuffs) that the co needs to run </t>
  </si>
  <si>
    <t>- EX : if AR inc by 1 and Inv inc by 2 , the change in WC ( $3) on Cash Flow Statement - Why?</t>
  </si>
  <si>
    <t xml:space="preserve">&gt;&gt; when AR inc by 1 on BS , the company showed teg full rev on IS but did not receive in cash so we need to deduct it from Cash flow statement </t>
  </si>
  <si>
    <t>&gt;&gt; When inv inc by 2 on the BS that’s a cash outflow &gt;&gt; (-3) change in total WC</t>
  </si>
  <si>
    <t xml:space="preserve">WC days </t>
  </si>
  <si>
    <t>many companies don’t like having WC</t>
  </si>
  <si>
    <t xml:space="preserve">imagine opening up a shoe store </t>
  </si>
  <si>
    <t xml:space="preserve">- what if nobody buys ur shoes </t>
  </si>
  <si>
    <t xml:space="preserve">- it takes too long to sell em </t>
  </si>
  <si>
    <t>companies Think WC in terms of Days</t>
  </si>
  <si>
    <t xml:space="preserve">- 30 days recievable: 30 days to get cash </t>
  </si>
  <si>
    <t xml:space="preserve">-could your customer pay you faster </t>
  </si>
  <si>
    <t xml:space="preserve">Our job is to understand a company's WC </t>
  </si>
  <si>
    <t>what if company has 50 days inventories?</t>
  </si>
  <si>
    <t>they could make sales for 50 mas days w/I buying more inventory</t>
  </si>
  <si>
    <t xml:space="preserve">working Capital Schedule </t>
  </si>
  <si>
    <t xml:space="preserve">Cost of Sales </t>
  </si>
  <si>
    <t xml:space="preserve">Accounts Recievable </t>
  </si>
  <si>
    <t xml:space="preserve">Inventories </t>
  </si>
  <si>
    <t>Other Assets</t>
  </si>
  <si>
    <t>(MM $)</t>
  </si>
  <si>
    <t>non int bearing current accounts</t>
  </si>
  <si>
    <t xml:space="preserve">other is optional </t>
  </si>
  <si>
    <t>1. get the historicals from B/S</t>
  </si>
  <si>
    <t xml:space="preserve">2. derive the historical days </t>
  </si>
  <si>
    <t>recievables turnover = rev/ avg  ar</t>
  </si>
  <si>
    <t>doh = 365/ rt</t>
  </si>
  <si>
    <t xml:space="preserve">Step 3: Assumptions </t>
  </si>
  <si>
    <t xml:space="preserve">Step 2: Calculations </t>
  </si>
  <si>
    <t xml:space="preserve">4. get the future $ balnces for accounts </t>
  </si>
  <si>
    <t>Ca[ital Structure</t>
  </si>
  <si>
    <t xml:space="preserve">often considered the most difficult part of the model </t>
  </si>
  <si>
    <t>in this we wont get too complex</t>
  </si>
  <si>
    <t xml:space="preserve">the numbers wont be correct until finished </t>
  </si>
  <si>
    <t>the first step is to make a plan for the debt and equity</t>
  </si>
  <si>
    <t>most companies have debt and equity(even if -ve)</t>
  </si>
  <si>
    <t xml:space="preserve">six  questions to understand </t>
  </si>
  <si>
    <t>1. amount of ech piece of debt and equity</t>
  </si>
  <si>
    <t>2. cost- interest rate on debt/ div rates on equity</t>
  </si>
  <si>
    <t xml:space="preserve">3. maturity/ repayment / amortization </t>
  </si>
  <si>
    <t xml:space="preserve">4. other concepts like seniority options </t>
  </si>
  <si>
    <t xml:space="preserve">5. covenants or other restrictions </t>
  </si>
  <si>
    <t>6. Fees issuance fees underwriting fees , stand by fees</t>
  </si>
  <si>
    <t>LTD</t>
  </si>
  <si>
    <t>beg bal</t>
  </si>
  <si>
    <t>additions(repayments)</t>
  </si>
  <si>
    <t xml:space="preserve">Ending Balance </t>
  </si>
  <si>
    <t>addition is +ve</t>
  </si>
  <si>
    <t xml:space="preserve">interest rate </t>
  </si>
  <si>
    <t>Interest exp</t>
  </si>
  <si>
    <t>B/S</t>
  </si>
  <si>
    <t xml:space="preserve">Each piece of D/ E should have its own section in the model </t>
  </si>
  <si>
    <t xml:space="preserve">Each section should be modeled in a similar way as follows </t>
  </si>
  <si>
    <t>=END OF PREV YR</t>
  </si>
  <si>
    <t xml:space="preserve">=assumption or calc </t>
  </si>
  <si>
    <t xml:space="preserve">sum(beg + change </t>
  </si>
  <si>
    <t>=assumption</t>
  </si>
  <si>
    <t xml:space="preserve">= Rate * amount </t>
  </si>
  <si>
    <t xml:space="preserve">Two Ways to calculate interest expense </t>
  </si>
  <si>
    <t xml:space="preserve">1. = Rate * Beg Balance </t>
  </si>
  <si>
    <t xml:space="preserve">assumes any changes happen at the END of the period </t>
  </si>
  <si>
    <t xml:space="preserve">2. Rate * avg( Beg, End) </t>
  </si>
  <si>
    <t xml:space="preserve">- Assumes any changes happen Evenely throughout the period </t>
  </si>
  <si>
    <t xml:space="preserve">- Probably more realistic, but usually leads to a circular reference </t>
  </si>
  <si>
    <t xml:space="preserve">Both approaches are used by firms globally </t>
  </si>
  <si>
    <t xml:space="preserve">Amount Outstanding- Beginning </t>
  </si>
  <si>
    <t xml:space="preserve">Change in Cash </t>
  </si>
  <si>
    <t xml:space="preserve">Amount Outstanding - Ending </t>
  </si>
  <si>
    <t xml:space="preserve">Interest Rate </t>
  </si>
  <si>
    <t xml:space="preserve">Operating Cash Flows </t>
  </si>
  <si>
    <t xml:space="preserve">Investing Cash Flows </t>
  </si>
  <si>
    <t xml:space="preserve">Mandatory Debt Repayment </t>
  </si>
  <si>
    <t>Common Stock Issuance/ (Buyback)</t>
  </si>
  <si>
    <t xml:space="preserve">Steps </t>
  </si>
  <si>
    <t xml:space="preserve">1. Model Cash </t>
  </si>
  <si>
    <t xml:space="preserve">2. Long term Debt </t>
  </si>
  <si>
    <t xml:space="preserve">3. Revolver </t>
  </si>
  <si>
    <t xml:space="preserve">Dividends </t>
  </si>
  <si>
    <t>Revolver Outstanding - Beginning</t>
  </si>
  <si>
    <t xml:space="preserve">just a link to CFLO stmt </t>
  </si>
  <si>
    <t xml:space="preserve">Additions / ( Repayments) </t>
  </si>
  <si>
    <t xml:space="preserve">Amount Oustanding - Ending </t>
  </si>
  <si>
    <t>Amount Outstanding - Beginning</t>
  </si>
  <si>
    <t>Interest Rate</t>
  </si>
  <si>
    <t xml:space="preserve">Senior Term Debt Repayment Percent </t>
  </si>
  <si>
    <t xml:space="preserve">% </t>
  </si>
  <si>
    <t xml:space="preserve">Senior Term Debt Repatment Perccent </t>
  </si>
  <si>
    <t xml:space="preserve">interes exp </t>
  </si>
  <si>
    <t xml:space="preserve">Senior Secured Debt - If percentages were given </t>
  </si>
  <si>
    <t>Modeling the Revolver</t>
  </si>
  <si>
    <t>what? Its a Short term debt used to fund cash shortgalls</t>
  </si>
  <si>
    <t>also know as bank line , operating line , line of credit etc</t>
  </si>
  <si>
    <t xml:space="preserve">most pieces of debt only go down </t>
  </si>
  <si>
    <t xml:space="preserve">Revolver can go up or down </t>
  </si>
  <si>
    <t>every model should have revolver, even if the company doesn’t actaully have one</t>
  </si>
  <si>
    <t xml:space="preserve">they may need one if you forecast a bad year </t>
  </si>
  <si>
    <t xml:space="preserve">if you don’t include a revolver, you will en up showing -ve cash </t>
  </si>
  <si>
    <t xml:space="preserve">Two Steps to build the Revolver </t>
  </si>
  <si>
    <t xml:space="preserve">1. Caclualte how muc h excess Cash flow ( or shortfall) the company is expected to generate every year </t>
  </si>
  <si>
    <t xml:space="preserve">2. Build a section that includes the beginning, change, ending and interest </t>
  </si>
  <si>
    <t>in many revolver if the company has excess cash , they have to pay off the revolver- cash sweep</t>
  </si>
  <si>
    <t>four Rules to Every Revolver</t>
  </si>
  <si>
    <t xml:space="preserve">1. If you have a shortfall, you need to borrow on revolver </t>
  </si>
  <si>
    <t xml:space="preserve">2. However First check to see if the company has any excess cash before you borrow </t>
  </si>
  <si>
    <t xml:space="preserve">3, if the company has excess cash flow, then repay the revolver / sweep the revolver </t>
  </si>
  <si>
    <t xml:space="preserve">4. Never repay more than what's outstanding </t>
  </si>
  <si>
    <t>Most people build these four rules into their models using IF statement s</t>
  </si>
  <si>
    <t xml:space="preserve">How to build the Four Rules </t>
  </si>
  <si>
    <t xml:space="preserve">We want a MIN f'n </t>
  </si>
  <si>
    <t xml:space="preserve">= Min ( CFLO , + Beg Cash , Beg Revolver) </t>
  </si>
  <si>
    <t xml:space="preserve">from debt schedule </t>
  </si>
  <si>
    <t>form cflo statement</t>
  </si>
  <si>
    <t xml:space="preserve">from equity schedule </t>
  </si>
  <si>
    <t xml:space="preserve">some peope prefer to build equirt before debt </t>
  </si>
  <si>
    <t xml:space="preserve">four rules </t>
  </si>
  <si>
    <t xml:space="preserve">Excel Shortcuts </t>
  </si>
  <si>
    <t xml:space="preserve">f9 within an operation in a formula solves it </t>
  </si>
  <si>
    <t xml:space="preserve">f5 takes you back to the cell you were in before </t>
  </si>
  <si>
    <t xml:space="preserve">ctrl [ takes you to the cell you are referencing in your formula </t>
  </si>
  <si>
    <t xml:space="preserve">Shareholder's Equity Schedule </t>
  </si>
  <si>
    <t xml:space="preserve">Amount Outstanding - Beginning </t>
  </si>
  <si>
    <t>New Issuance / (Buybacks)</t>
  </si>
  <si>
    <t xml:space="preserve">Retained Earnings </t>
  </si>
  <si>
    <t xml:space="preserve">usually a decision </t>
  </si>
  <si>
    <t xml:space="preserve">Net Income </t>
  </si>
  <si>
    <t xml:space="preserve">Cmmon Dividend </t>
  </si>
  <si>
    <t xml:space="preserve">dividend Payout Ratio </t>
  </si>
  <si>
    <t xml:space="preserve">Common Dividend </t>
  </si>
  <si>
    <t xml:space="preserve">pref div appears on pnl , common dividends gets show on cash flow statement and retained earnings and Revolver section </t>
  </si>
  <si>
    <t xml:space="preserve">other otpion is to build an sg&amp;a schedule </t>
  </si>
  <si>
    <t xml:space="preserve">cfo is really a cash income statement </t>
  </si>
  <si>
    <t xml:space="preserve">reflects changes in the assets not shown on Pnl </t>
  </si>
  <si>
    <t>reflects changes in D/E sections not included in the PnL</t>
  </si>
  <si>
    <t>each piece of Eq n D should have its own line</t>
  </si>
  <si>
    <t>=cfo+cfi+cff</t>
  </si>
  <si>
    <t>no plug on BS</t>
  </si>
  <si>
    <t xml:space="preserve">you are forcing the BS to balance </t>
  </si>
  <si>
    <t xml:space="preserve">problem is that Bs will always balance even if theres a mistake </t>
  </si>
  <si>
    <t xml:space="preserve">calc </t>
  </si>
  <si>
    <t>rev sche</t>
  </si>
  <si>
    <t>switch back to k318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</si>
</sst>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164" formatCode="&quot;$&quot;#,##0_);\(&quot;$&quot;#,##0\)"/>
    <numFmt numFmtId="165" formatCode="&quot;$&quot;#,##0_);[Red]\(&quot;$&quot;#,##0\)"/>
    <numFmt numFmtId="166" formatCode="&quot;$&quot;#,##0.00_);\(&quot;$&quot;#,##0.00\)"/>
    <numFmt numFmtId="167" formatCode="&quot;$&quot;#,##0.00_);[Red]\(&quot;$&quot;#,##0.00\)"/>
    <numFmt numFmtId="168" formatCode="_(* #,##0.00_);_(* \(#,##0.00\);_(* &quot;-&quot;??_);_(@_)"/>
    <numFmt numFmtId="169" formatCode="_(* #,##0.0_);_(* \(#,##0.0\);_(* &quot;-&quot;??_);_(@_)"/>
    <numFmt numFmtId="170" formatCode="_(* #,##0_);_(* \(#,##0\);_(* &quot;-&quot;??_);_(@_)"/>
    <numFmt numFmtId="171" formatCode="0.0%"/>
    <numFmt numFmtId="172" formatCode="#,##0.0_);\(#,##0.0\)"/>
    <numFmt numFmtId="173" formatCode="&quot;$&quot;#,##0.0_);\(&quot;$&quot;#,##0.0\)"/>
    <numFmt numFmtId="174" formatCode="#,##0.000_);\(#,##0.000\)"/>
    <numFmt numFmtId="175" formatCode="0.0_);\(0.0\)"/>
    <numFmt numFmtId="176" formatCode="0.00_);\(0.00\)"/>
    <numFmt numFmtId="177" formatCode="0.000_);\(0.000\)"/>
    <numFmt numFmtId="178" formatCode="0\A"/>
    <numFmt numFmtId="179" formatCode="&quot;- EBITDA margin of &quot;0.0%"/>
    <numFmt numFmtId="180" formatCode="&quot;- Opening UCC pool of &quot;&quot;$&quot;#,###.0&quot; million as of January 1, 1999&quot;"/>
    <numFmt numFmtId="181" formatCode="0%;\(0%\)"/>
    <numFmt numFmtId="182" formatCode="0.00\ "/>
    <numFmt numFmtId="183" formatCode="_-* #,##0_-;\-* #,##0_-;_-* &quot;-&quot;??_-;_-@_-"/>
    <numFmt numFmtId="184" formatCode="0_);\(0\)"/>
    <numFmt numFmtId="185" formatCode="0.0%\ ;\(0.0%\)"/>
    <numFmt numFmtId="186" formatCode="mmmm\ d\,\ yyyy"/>
    <numFmt numFmtId="187" formatCode="\+0%;\(0%\)"/>
    <numFmt numFmtId="188" formatCode="&quot;$&quot;#,##0.0"/>
    <numFmt numFmtId="189" formatCode="0\ &quot;years&quot;"/>
    <numFmt numFmtId="190" formatCode="0.0\ \x"/>
    <numFmt numFmtId="191" formatCode="#,##0.0000_);\(#,##0.0000\)"/>
    <numFmt numFmtId="192" formatCode="&quot;$&quot;#,##0.000_);\(&quot;$&quot;#,##0.000\)"/>
    <numFmt numFmtId="193" formatCode="0\F"/>
    <numFmt numFmtId="194" formatCode="&quot;$&quot;#,##0.0000_);\(&quot;$&quot;#,##0.0000\)"/>
    <numFmt numFmtId="195" formatCode="0.0%;\(0.0%\)"/>
    <numFmt numFmtId="196" formatCode="[&gt;-0.000001]\ 0.0_);\ \(0.0\)_)"/>
    <numFmt numFmtId="197" formatCode="\&lt;0.0\x"/>
    <numFmt numFmtId="198" formatCode="0.0\ &quot;years&quot;"/>
    <numFmt numFmtId="199" formatCode="0.0"/>
    <numFmt numFmtId="200" formatCode="\+\ 0.0;\ \(0.0\);\ \-;\ &quot;this cell should contain a value&quot;"/>
    <numFmt numFmtId="201" formatCode="#,##0.0"/>
  </numFmts>
  <fonts count="95">
    <font>
      <sz val="10"/>
      <name val="Arial"/>
      <family val="2"/>
    </font>
    <font>
      <sz val="10"/>
      <name val="Book Antiqua"/>
      <family val="1"/>
    </font>
    <font>
      <sz val="10"/>
      <name val="Aldine401 BT"/>
    </font>
    <font>
      <sz val="10"/>
      <name val="Arial"/>
      <family val="2"/>
    </font>
    <font>
      <sz val="11"/>
      <color indexed="12"/>
      <name val="Book Antiqua"/>
      <family val="1"/>
    </font>
    <font>
      <sz val="8"/>
      <name val="Arial"/>
      <family val="2"/>
    </font>
    <font>
      <sz val="10"/>
      <name val="Times New Roman"/>
      <family val="1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24"/>
      <color theme="1"/>
      <name val="Arial"/>
      <family val="2"/>
    </font>
    <font>
      <sz val="18"/>
      <color theme="1"/>
      <name val="Arial"/>
      <family val="2"/>
    </font>
    <font>
      <b/>
      <sz val="24"/>
      <color theme="4"/>
      <name val="Arial"/>
      <family val="2"/>
    </font>
    <font>
      <sz val="14"/>
      <name val="Arial"/>
      <family val="2"/>
    </font>
    <font>
      <b/>
      <sz val="12"/>
      <color theme="4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b/>
      <sz val="18"/>
      <name val="Arial"/>
      <family val="2"/>
    </font>
    <font>
      <b/>
      <sz val="18"/>
      <color indexed="12"/>
      <name val="Arial"/>
      <family val="2"/>
    </font>
    <font>
      <b/>
      <sz val="14"/>
      <color indexed="8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sz val="9"/>
      <color indexed="12"/>
      <name val="Arial"/>
      <family val="2"/>
    </font>
    <font>
      <sz val="9"/>
      <name val="Arial"/>
      <family val="2"/>
    </font>
    <font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8"/>
      <name val="Arial"/>
      <family val="2"/>
    </font>
    <font>
      <b/>
      <i/>
      <sz val="14"/>
      <color indexed="10"/>
      <name val="Arial"/>
      <family val="2"/>
    </font>
    <font>
      <b/>
      <i/>
      <sz val="9"/>
      <color indexed="10"/>
      <name val="Arial"/>
      <family val="2"/>
    </font>
    <font>
      <b/>
      <i/>
      <sz val="10"/>
      <name val="Arial"/>
      <family val="2"/>
    </font>
    <font>
      <sz val="10"/>
      <color indexed="9"/>
      <name val="Arial"/>
      <family val="2"/>
    </font>
    <font>
      <sz val="10"/>
      <color rgb="FF0000FF"/>
      <name val="Arial"/>
      <family val="2"/>
    </font>
    <font>
      <sz val="10"/>
      <color indexed="61"/>
      <name val="Arial"/>
      <family val="2"/>
    </font>
    <font>
      <i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0"/>
      <color rgb="FF0000FF"/>
      <name val="Arial"/>
      <family val="2"/>
    </font>
    <font>
      <b/>
      <sz val="9"/>
      <name val="Arial"/>
      <family val="2"/>
    </font>
    <font>
      <vertAlign val="superscript"/>
      <sz val="7"/>
      <name val="Arial"/>
      <family val="2"/>
    </font>
    <font>
      <b/>
      <sz val="10"/>
      <color indexed="10"/>
      <name val="Arial"/>
      <family val="2"/>
    </font>
    <font>
      <u/>
      <sz val="10"/>
      <color rgb="FF0000FF"/>
      <name val="Arial"/>
      <family val="2"/>
    </font>
    <font>
      <sz val="8"/>
      <color indexed="12"/>
      <name val="Arial"/>
      <family val="2"/>
    </font>
    <font>
      <b/>
      <sz val="18"/>
      <color indexed="8"/>
      <name val="Arial"/>
      <family val="2"/>
    </font>
    <font>
      <b/>
      <sz val="16"/>
      <color indexed="8"/>
      <name val="Arial"/>
      <family val="2"/>
    </font>
    <font>
      <b/>
      <sz val="9"/>
      <color indexed="12"/>
      <name val="Arial"/>
      <family val="2"/>
    </font>
    <font>
      <b/>
      <sz val="20"/>
      <name val="Arial"/>
      <family val="2"/>
    </font>
    <font>
      <b/>
      <u/>
      <sz val="9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2"/>
      <color indexed="8"/>
      <name val="Arial"/>
      <family val="2"/>
    </font>
    <font>
      <b/>
      <i/>
      <sz val="10"/>
      <color indexed="8"/>
      <name val="Arial"/>
      <family val="2"/>
    </font>
    <font>
      <b/>
      <sz val="9"/>
      <color indexed="8"/>
      <name val="Arial"/>
      <family val="2"/>
    </font>
    <font>
      <vertAlign val="superscript"/>
      <sz val="10"/>
      <name val="Arial"/>
      <family val="2"/>
    </font>
    <font>
      <i/>
      <sz val="9"/>
      <name val="Arial"/>
      <family val="2"/>
    </font>
    <font>
      <sz val="10"/>
      <color rgb="FF009B73"/>
      <name val="Arial"/>
      <family val="2"/>
    </font>
    <font>
      <i/>
      <sz val="10"/>
      <color rgb="FF009B73"/>
      <name val="Arial"/>
      <family val="2"/>
    </font>
    <font>
      <b/>
      <sz val="10"/>
      <color rgb="FF009B73"/>
      <name val="Arial"/>
      <family val="2"/>
    </font>
    <font>
      <sz val="9"/>
      <color rgb="FF009B73"/>
      <name val="Arial"/>
      <family val="2"/>
    </font>
    <font>
      <b/>
      <sz val="20"/>
      <color indexed="12"/>
      <name val="Arial"/>
      <family val="2"/>
    </font>
    <font>
      <b/>
      <i/>
      <sz val="14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b/>
      <i/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4586BB"/>
      <name val="Arial"/>
      <family val="2"/>
    </font>
    <font>
      <b/>
      <sz val="28"/>
      <color rgb="FF008ED6"/>
      <name val="Arial"/>
      <family val="2"/>
    </font>
    <font>
      <b/>
      <sz val="8"/>
      <color rgb="FF008ED6"/>
      <name val="Arial"/>
      <family val="2"/>
    </font>
    <font>
      <sz val="10"/>
      <color rgb="FF002F6C"/>
      <name val="Arial"/>
      <family val="2"/>
    </font>
    <font>
      <i/>
      <sz val="9"/>
      <color rgb="FF002F6C"/>
      <name val="Arial"/>
      <family val="2"/>
    </font>
    <font>
      <sz val="9"/>
      <color rgb="FF002F6C"/>
      <name val="Arial"/>
      <family val="2"/>
    </font>
    <font>
      <u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3"/>
      <name val="Arial"/>
      <family val="2"/>
    </font>
    <font>
      <sz val="10"/>
      <color rgb="FF0000CC"/>
      <name val="Arial"/>
      <family val="2"/>
    </font>
    <font>
      <sz val="24"/>
      <name val="Arial"/>
      <family val="2"/>
    </font>
    <font>
      <sz val="11"/>
      <name val="Arial"/>
      <family val="2"/>
    </font>
    <font>
      <sz val="11"/>
      <color rgb="FF0000CC"/>
      <name val="Arial"/>
      <family val="2"/>
    </font>
    <font>
      <b/>
      <sz val="11"/>
      <color indexed="12"/>
      <name val="Arial"/>
      <family val="2"/>
    </font>
    <font>
      <i/>
      <sz val="11"/>
      <name val="Arial"/>
      <family val="2"/>
    </font>
    <font>
      <sz val="10"/>
      <color theme="1"/>
      <name val="Arial"/>
      <family val="2"/>
    </font>
    <font>
      <sz val="11"/>
      <color theme="0" tint="-0.249977111117893"/>
      <name val="Arial"/>
      <family val="2"/>
    </font>
    <font>
      <u/>
      <sz val="11"/>
      <name val="Arial"/>
      <family val="2"/>
    </font>
    <font>
      <sz val="10"/>
      <color rgb="FF00996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F6C"/>
        <bgColor indexed="64"/>
      </patternFill>
    </fill>
    <fill>
      <patternFill patternType="solid">
        <fgColor rgb="FF009966"/>
        <bgColor indexed="64"/>
      </patternFill>
    </fill>
    <fill>
      <patternFill patternType="solid">
        <fgColor rgb="FF5B77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4586BB"/>
      </left>
      <right/>
      <top style="thin">
        <color rgb="FF4586BB"/>
      </top>
      <bottom/>
      <diagonal/>
    </border>
    <border>
      <left/>
      <right/>
      <top style="thin">
        <color rgb="FF4586BB"/>
      </top>
      <bottom/>
      <diagonal/>
    </border>
    <border>
      <left/>
      <right style="thin">
        <color rgb="FF4586BB"/>
      </right>
      <top style="thin">
        <color rgb="FF4586BB"/>
      </top>
      <bottom/>
      <diagonal/>
    </border>
    <border>
      <left style="thin">
        <color rgb="FF4586BB"/>
      </left>
      <right/>
      <top/>
      <bottom/>
      <diagonal/>
    </border>
    <border>
      <left/>
      <right style="thin">
        <color rgb="FF4586BB"/>
      </right>
      <top/>
      <bottom/>
      <diagonal/>
    </border>
    <border>
      <left style="thin">
        <color rgb="FF4586BB"/>
      </left>
      <right/>
      <top/>
      <bottom style="thin">
        <color rgb="FF4586BB"/>
      </bottom>
      <diagonal/>
    </border>
    <border>
      <left/>
      <right/>
      <top/>
      <bottom style="thin">
        <color rgb="FF4586BB"/>
      </bottom>
      <diagonal/>
    </border>
    <border>
      <left/>
      <right style="thin">
        <color rgb="FF4586BB"/>
      </right>
      <top/>
      <bottom style="thin">
        <color rgb="FF4586BB"/>
      </bottom>
      <diagonal/>
    </border>
    <border>
      <left style="thin">
        <color rgb="FF002F6C"/>
      </left>
      <right/>
      <top style="thin">
        <color rgb="FF002F6C"/>
      </top>
      <bottom/>
      <diagonal/>
    </border>
    <border>
      <left/>
      <right/>
      <top style="thin">
        <color rgb="FF002F6C"/>
      </top>
      <bottom/>
      <diagonal/>
    </border>
    <border>
      <left/>
      <right/>
      <top style="thin">
        <color rgb="FF002F6C"/>
      </top>
      <bottom style="thin">
        <color theme="0"/>
      </bottom>
      <diagonal/>
    </border>
    <border>
      <left/>
      <right style="thin">
        <color rgb="FF002F6C"/>
      </right>
      <top style="thin">
        <color rgb="FF002F6C"/>
      </top>
      <bottom/>
      <diagonal/>
    </border>
    <border>
      <left style="thin">
        <color rgb="FF002F6C"/>
      </left>
      <right/>
      <top/>
      <bottom/>
      <diagonal/>
    </border>
    <border>
      <left/>
      <right style="thin">
        <color rgb="FF002F6C"/>
      </right>
      <top/>
      <bottom/>
      <diagonal/>
    </border>
    <border>
      <left style="thin">
        <color rgb="FF002F6C"/>
      </left>
      <right/>
      <top/>
      <bottom style="thin">
        <color rgb="FF002F6C"/>
      </bottom>
      <diagonal/>
    </border>
    <border>
      <left/>
      <right/>
      <top/>
      <bottom style="thin">
        <color rgb="FF002F6C"/>
      </bottom>
      <diagonal/>
    </border>
    <border>
      <left/>
      <right style="thin">
        <color rgb="FF002F6C"/>
      </right>
      <top/>
      <bottom style="thin">
        <color rgb="FF002F6C"/>
      </bottom>
      <diagonal/>
    </border>
    <border>
      <left style="thin">
        <color rgb="FF002F6C"/>
      </left>
      <right/>
      <top/>
      <bottom style="thin">
        <color rgb="FF4586BB"/>
      </bottom>
      <diagonal/>
    </border>
    <border>
      <left/>
      <right style="thin">
        <color rgb="FF002F6C"/>
      </right>
      <top/>
      <bottom style="thin">
        <color rgb="FF4586BB"/>
      </bottom>
      <diagonal/>
    </border>
    <border>
      <left/>
      <right/>
      <top/>
      <bottom style="dotted">
        <color rgb="FF009966"/>
      </bottom>
      <diagonal/>
    </border>
    <border>
      <left/>
      <right/>
      <top style="thin">
        <color rgb="FF5B77CC"/>
      </top>
      <bottom/>
      <diagonal/>
    </border>
    <border>
      <left/>
      <right style="thin">
        <color rgb="FF4586BB"/>
      </right>
      <top style="thin">
        <color rgb="FF5B77CC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4">
    <xf numFmtId="0" fontId="0" fillId="0" borderId="0"/>
    <xf numFmtId="0" fontId="1" fillId="0" borderId="0" applyNumberFormat="0" applyFont="0" applyFill="0" applyBorder="0" applyProtection="0">
      <alignment horizontal="centerContinuous"/>
    </xf>
    <xf numFmtId="0" fontId="1" fillId="0" borderId="1" applyNumberFormat="0" applyFont="0" applyFill="0" applyAlignment="0" applyProtection="0"/>
    <xf numFmtId="0" fontId="1" fillId="0" borderId="0" applyNumberFormat="0" applyFont="0" applyFill="0" applyBorder="0" applyProtection="0">
      <alignment horizontal="center"/>
    </xf>
    <xf numFmtId="168" fontId="2" fillId="0" borderId="0" applyFont="0" applyFill="0" applyBorder="0" applyAlignment="0" applyProtection="0"/>
    <xf numFmtId="167" fontId="4" fillId="0" borderId="2">
      <protection locked="0"/>
    </xf>
    <xf numFmtId="0" fontId="1" fillId="0" borderId="3" applyNumberFormat="0" applyFont="0" applyFill="0" applyAlignment="0" applyProtection="0"/>
    <xf numFmtId="0" fontId="3" fillId="0" borderId="0"/>
    <xf numFmtId="0" fontId="3" fillId="0" borderId="0"/>
    <xf numFmtId="0" fontId="6" fillId="0" borderId="0"/>
    <xf numFmtId="0" fontId="5" fillId="0" borderId="0" applyNumberFormat="0" applyFill="0" applyBorder="0" applyAlignment="0" applyProtection="0"/>
    <xf numFmtId="183" fontId="2" fillId="0" borderId="0" applyNumberFormat="0" applyFill="0" applyBorder="0" applyAlignment="0" applyProtection="0"/>
    <xf numFmtId="0" fontId="1" fillId="0" borderId="4" applyNumberFormat="0" applyFont="0" applyFill="0" applyAlignment="0" applyProtection="0"/>
    <xf numFmtId="0" fontId="7" fillId="0" borderId="0"/>
  </cellStyleXfs>
  <cellXfs count="616">
    <xf numFmtId="0" fontId="0" fillId="0" borderId="0" xfId="0"/>
    <xf numFmtId="0" fontId="16" fillId="0" borderId="0" xfId="0" applyFont="1" applyAlignment="1">
      <alignment horizontal="centerContinuous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8" fillId="0" borderId="0" xfId="0" applyFont="1" applyAlignment="1">
      <alignment horizontal="centerContinuous"/>
    </xf>
    <xf numFmtId="0" fontId="0" fillId="0" borderId="8" xfId="0" applyBorder="1"/>
    <xf numFmtId="0" fontId="0" fillId="0" borderId="5" xfId="0" applyBorder="1"/>
    <xf numFmtId="14" fontId="0" fillId="0" borderId="0" xfId="0" applyNumberFormat="1" applyAlignment="1">
      <alignment horizontal="left"/>
    </xf>
    <xf numFmtId="37" fontId="20" fillId="0" borderId="0" xfId="0" applyNumberFormat="1" applyFont="1" applyAlignment="1">
      <alignment horizontal="right"/>
    </xf>
    <xf numFmtId="10" fontId="0" fillId="0" borderId="0" xfId="0" applyNumberFormat="1"/>
    <xf numFmtId="0" fontId="0" fillId="0" borderId="0" xfId="0" quotePrefix="1" applyAlignment="1">
      <alignment horizontal="left"/>
    </xf>
    <xf numFmtId="0" fontId="0" fillId="0" borderId="1" xfId="0" applyBorder="1"/>
    <xf numFmtId="0" fontId="0" fillId="0" borderId="10" xfId="0" applyBorder="1"/>
    <xf numFmtId="0" fontId="0" fillId="0" borderId="0" xfId="0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horizontal="centerContinuous" vertical="center"/>
    </xf>
    <xf numFmtId="0" fontId="22" fillId="0" borderId="0" xfId="0" applyFont="1" applyAlignment="1">
      <alignment horizontal="centerContinuous" vertical="center"/>
    </xf>
    <xf numFmtId="0" fontId="23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Continuous"/>
    </xf>
    <xf numFmtId="0" fontId="21" fillId="0" borderId="0" xfId="0" applyFont="1"/>
    <xf numFmtId="0" fontId="0" fillId="0" borderId="5" xfId="0" applyBorder="1" applyAlignment="1">
      <alignment horizontal="left"/>
    </xf>
    <xf numFmtId="0" fontId="20" fillId="0" borderId="0" xfId="0" applyFont="1"/>
    <xf numFmtId="180" fontId="0" fillId="0" borderId="0" xfId="0" quotePrefix="1" applyNumberFormat="1" applyAlignment="1">
      <alignment horizontal="left"/>
    </xf>
    <xf numFmtId="179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189" fontId="20" fillId="0" borderId="0" xfId="0" applyNumberFormat="1" applyFont="1" applyAlignment="1">
      <alignment horizontal="right"/>
    </xf>
    <xf numFmtId="0" fontId="0" fillId="0" borderId="0" xfId="0" quotePrefix="1"/>
    <xf numFmtId="0" fontId="24" fillId="0" borderId="0" xfId="0" applyFont="1"/>
    <xf numFmtId="0" fontId="0" fillId="0" borderId="7" xfId="0" applyBorder="1"/>
    <xf numFmtId="173" fontId="20" fillId="0" borderId="0" xfId="0" applyNumberFormat="1" applyFont="1"/>
    <xf numFmtId="179" fontId="0" fillId="0" borderId="0" xfId="0" applyNumberFormat="1" applyAlignment="1">
      <alignment horizontal="left"/>
    </xf>
    <xf numFmtId="0" fontId="25" fillId="0" borderId="0" xfId="9" applyFont="1"/>
    <xf numFmtId="0" fontId="16" fillId="0" borderId="0" xfId="9" applyFont="1" applyAlignment="1">
      <alignment horizontal="centerContinuous"/>
    </xf>
    <xf numFmtId="0" fontId="26" fillId="0" borderId="0" xfId="9" applyFont="1" applyAlignment="1">
      <alignment horizontal="centerContinuous"/>
    </xf>
    <xf numFmtId="0" fontId="3" fillId="0" borderId="0" xfId="9" applyFont="1"/>
    <xf numFmtId="0" fontId="27" fillId="0" borderId="0" xfId="9" applyFont="1" applyAlignment="1">
      <alignment horizontal="centerContinuous"/>
    </xf>
    <xf numFmtId="0" fontId="28" fillId="0" borderId="0" xfId="9" quotePrefix="1" applyFont="1" applyAlignment="1">
      <alignment horizontal="left"/>
    </xf>
    <xf numFmtId="0" fontId="28" fillId="0" borderId="0" xfId="9" quotePrefix="1" applyFont="1" applyAlignment="1">
      <alignment horizontal="center"/>
    </xf>
    <xf numFmtId="0" fontId="3" fillId="0" borderId="7" xfId="9" applyFont="1" applyBorder="1"/>
    <xf numFmtId="0" fontId="3" fillId="0" borderId="8" xfId="9" applyFont="1" applyBorder="1"/>
    <xf numFmtId="0" fontId="3" fillId="0" borderId="9" xfId="9" applyFont="1" applyBorder="1" applyAlignment="1">
      <alignment horizontal="center"/>
    </xf>
    <xf numFmtId="0" fontId="19" fillId="0" borderId="1" xfId="9" applyFont="1" applyBorder="1" applyAlignment="1">
      <alignment horizontal="centerContinuous"/>
    </xf>
    <xf numFmtId="0" fontId="19" fillId="0" borderId="5" xfId="9" applyFont="1" applyBorder="1" applyAlignment="1">
      <alignment vertical="center"/>
    </xf>
    <xf numFmtId="0" fontId="19" fillId="0" borderId="0" xfId="9" applyFont="1"/>
    <xf numFmtId="0" fontId="29" fillId="0" borderId="0" xfId="9" applyFont="1" applyAlignment="1">
      <alignment horizontal="center" vertical="center"/>
    </xf>
    <xf numFmtId="0" fontId="29" fillId="0" borderId="6" xfId="9" applyFont="1" applyBorder="1" applyAlignment="1">
      <alignment horizontal="center" vertical="center"/>
    </xf>
    <xf numFmtId="0" fontId="21" fillId="0" borderId="0" xfId="9" quotePrefix="1" applyFont="1" applyAlignment="1">
      <alignment horizontal="right"/>
    </xf>
    <xf numFmtId="0" fontId="19" fillId="0" borderId="10" xfId="9" applyFont="1" applyBorder="1"/>
    <xf numFmtId="0" fontId="19" fillId="0" borderId="1" xfId="9" applyFont="1" applyBorder="1"/>
    <xf numFmtId="0" fontId="19" fillId="0" borderId="1" xfId="9" applyFont="1" applyBorder="1" applyAlignment="1">
      <alignment horizontal="center"/>
    </xf>
    <xf numFmtId="0" fontId="19" fillId="0" borderId="11" xfId="9" applyFont="1" applyBorder="1" applyAlignment="1">
      <alignment horizontal="center"/>
    </xf>
    <xf numFmtId="0" fontId="21" fillId="0" borderId="0" xfId="9" applyFont="1" applyAlignment="1">
      <alignment horizontal="right"/>
    </xf>
    <xf numFmtId="0" fontId="19" fillId="0" borderId="0" xfId="9" applyFont="1" applyAlignment="1">
      <alignment horizontal="center"/>
    </xf>
    <xf numFmtId="0" fontId="30" fillId="0" borderId="0" xfId="9" quotePrefix="1" applyFont="1" applyAlignment="1">
      <alignment horizontal="left"/>
    </xf>
    <xf numFmtId="0" fontId="31" fillId="0" borderId="0" xfId="9" applyFont="1" applyAlignment="1">
      <alignment horizontal="left"/>
    </xf>
    <xf numFmtId="0" fontId="3" fillId="0" borderId="0" xfId="9" applyFont="1" applyAlignment="1">
      <alignment horizontal="center"/>
    </xf>
    <xf numFmtId="0" fontId="19" fillId="0" borderId="0" xfId="9" applyFont="1" applyAlignment="1">
      <alignment horizontal="left" vertical="center"/>
    </xf>
    <xf numFmtId="0" fontId="29" fillId="0" borderId="0" xfId="9" applyFont="1" applyAlignment="1">
      <alignment horizontal="center"/>
    </xf>
    <xf numFmtId="0" fontId="19" fillId="0" borderId="0" xfId="9" quotePrefix="1" applyFont="1" applyAlignment="1">
      <alignment horizontal="left"/>
    </xf>
    <xf numFmtId="171" fontId="20" fillId="0" borderId="0" xfId="0" applyNumberFormat="1" applyFont="1"/>
    <xf numFmtId="171" fontId="3" fillId="0" borderId="0" xfId="0" applyNumberFormat="1" applyFont="1"/>
    <xf numFmtId="171" fontId="32" fillId="0" borderId="16" xfId="0" applyNumberFormat="1" applyFont="1" applyBorder="1"/>
    <xf numFmtId="171" fontId="32" fillId="0" borderId="17" xfId="0" applyNumberFormat="1" applyFont="1" applyBorder="1"/>
    <xf numFmtId="171" fontId="32" fillId="0" borderId="18" xfId="0" applyNumberFormat="1" applyFont="1" applyBorder="1"/>
    <xf numFmtId="171" fontId="32" fillId="0" borderId="19" xfId="0" applyNumberFormat="1" applyFont="1" applyBorder="1"/>
    <xf numFmtId="171" fontId="32" fillId="0" borderId="0" xfId="0" applyNumberFormat="1" applyFont="1"/>
    <xf numFmtId="171" fontId="32" fillId="0" borderId="20" xfId="0" applyNumberFormat="1" applyFont="1" applyBorder="1"/>
    <xf numFmtId="171" fontId="32" fillId="0" borderId="21" xfId="0" applyNumberFormat="1" applyFont="1" applyBorder="1"/>
    <xf numFmtId="171" fontId="32" fillId="0" borderId="22" xfId="0" applyNumberFormat="1" applyFont="1" applyBorder="1"/>
    <xf numFmtId="171" fontId="32" fillId="0" borderId="23" xfId="0" applyNumberFormat="1" applyFont="1" applyBorder="1"/>
    <xf numFmtId="0" fontId="3" fillId="0" borderId="0" xfId="9" applyFont="1" applyAlignment="1">
      <alignment horizontal="left"/>
    </xf>
    <xf numFmtId="0" fontId="33" fillId="0" borderId="0" xfId="9" applyFont="1" applyAlignment="1">
      <alignment horizontal="center"/>
    </xf>
    <xf numFmtId="176" fontId="32" fillId="0" borderId="0" xfId="4" applyNumberFormat="1" applyFont="1" applyBorder="1" applyAlignment="1" applyProtection="1">
      <alignment horizontal="right"/>
    </xf>
    <xf numFmtId="176" fontId="34" fillId="0" borderId="0" xfId="4" applyNumberFormat="1" applyFont="1" applyBorder="1" applyAlignment="1" applyProtection="1">
      <alignment horizontal="right"/>
    </xf>
    <xf numFmtId="0" fontId="3" fillId="0" borderId="22" xfId="9" applyFont="1" applyBorder="1"/>
    <xf numFmtId="0" fontId="3" fillId="0" borderId="22" xfId="9" applyFont="1" applyBorder="1" applyAlignment="1">
      <alignment horizontal="center"/>
    </xf>
    <xf numFmtId="0" fontId="3" fillId="0" borderId="0" xfId="9" applyFont="1" applyAlignment="1">
      <alignment vertical="center"/>
    </xf>
    <xf numFmtId="0" fontId="19" fillId="0" borderId="0" xfId="9" applyFont="1" applyAlignment="1">
      <alignment horizontal="left"/>
    </xf>
    <xf numFmtId="184" fontId="35" fillId="0" borderId="0" xfId="0" applyNumberFormat="1" applyFont="1"/>
    <xf numFmtId="182" fontId="3" fillId="0" borderId="0" xfId="9" applyNumberFormat="1" applyFont="1"/>
    <xf numFmtId="37" fontId="3" fillId="0" borderId="0" xfId="9" applyNumberFormat="1" applyFont="1"/>
    <xf numFmtId="0" fontId="3" fillId="0" borderId="0" xfId="9" quotePrefix="1" applyFont="1" applyAlignment="1">
      <alignment horizontal="left"/>
    </xf>
    <xf numFmtId="37" fontId="32" fillId="0" borderId="0" xfId="0" applyNumberFormat="1" applyFont="1"/>
    <xf numFmtId="37" fontId="33" fillId="0" borderId="0" xfId="0" applyNumberFormat="1" applyFont="1"/>
    <xf numFmtId="0" fontId="3" fillId="0" borderId="1" xfId="9" applyFont="1" applyBorder="1"/>
    <xf numFmtId="0" fontId="3" fillId="0" borderId="1" xfId="9" applyFont="1" applyBorder="1" applyAlignment="1">
      <alignment horizontal="center"/>
    </xf>
    <xf numFmtId="0" fontId="20" fillId="0" borderId="0" xfId="9" applyFont="1"/>
    <xf numFmtId="0" fontId="17" fillId="0" borderId="0" xfId="0" applyFont="1" applyAlignment="1">
      <alignment horizontal="left"/>
    </xf>
    <xf numFmtId="0" fontId="33" fillId="0" borderId="0" xfId="0" applyFont="1" applyAlignment="1">
      <alignment horizontal="centerContinuous"/>
    </xf>
    <xf numFmtId="0" fontId="16" fillId="0" borderId="0" xfId="0" applyFont="1" applyAlignment="1">
      <alignment horizontal="left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Continuous"/>
    </xf>
    <xf numFmtId="0" fontId="37" fillId="0" borderId="0" xfId="0" applyFont="1" applyAlignment="1">
      <alignment horizontal="centerContinuous"/>
    </xf>
    <xf numFmtId="0" fontId="38" fillId="0" borderId="0" xfId="0" applyFont="1" applyAlignment="1">
      <alignment horizontal="centerContinuous"/>
    </xf>
    <xf numFmtId="0" fontId="33" fillId="0" borderId="0" xfId="0" applyFont="1"/>
    <xf numFmtId="0" fontId="19" fillId="0" borderId="0" xfId="0" applyFont="1" applyAlignment="1">
      <alignment horizontal="centerContinuous"/>
    </xf>
    <xf numFmtId="0" fontId="39" fillId="0" borderId="1" xfId="0" applyFont="1" applyBorder="1" applyAlignment="1">
      <alignment horizontal="centerContinuous"/>
    </xf>
    <xf numFmtId="0" fontId="40" fillId="0" borderId="0" xfId="0" applyFont="1"/>
    <xf numFmtId="0" fontId="19" fillId="0" borderId="0" xfId="0" quotePrefix="1" applyFont="1" applyAlignment="1">
      <alignment horizontal="left"/>
    </xf>
    <xf numFmtId="0" fontId="5" fillId="0" borderId="0" xfId="0" applyFont="1"/>
    <xf numFmtId="0" fontId="5" fillId="0" borderId="0" xfId="0" quotePrefix="1" applyFont="1" applyAlignment="1">
      <alignment horizontal="left"/>
    </xf>
    <xf numFmtId="169" fontId="41" fillId="0" borderId="0" xfId="4" applyNumberFormat="1" applyFont="1" applyFill="1" applyBorder="1" applyProtection="1"/>
    <xf numFmtId="169" fontId="41" fillId="0" borderId="0" xfId="4" applyNumberFormat="1" applyFont="1" applyFill="1" applyProtection="1"/>
    <xf numFmtId="171" fontId="43" fillId="0" borderId="0" xfId="0" applyNumberFormat="1" applyFont="1"/>
    <xf numFmtId="171" fontId="28" fillId="0" borderId="0" xfId="0" applyNumberFormat="1" applyFont="1"/>
    <xf numFmtId="169" fontId="20" fillId="0" borderId="0" xfId="4" applyNumberFormat="1" applyFont="1" applyFill="1" applyBorder="1" applyProtection="1"/>
    <xf numFmtId="0" fontId="19" fillId="0" borderId="0" xfId="0" applyFont="1" applyAlignment="1">
      <alignment horizontal="left"/>
    </xf>
    <xf numFmtId="0" fontId="36" fillId="0" borderId="0" xfId="0" quotePrefix="1" applyFont="1" applyAlignment="1">
      <alignment horizontal="left"/>
    </xf>
    <xf numFmtId="169" fontId="19" fillId="0" borderId="0" xfId="4" applyNumberFormat="1" applyFont="1" applyFill="1" applyBorder="1" applyProtection="1"/>
    <xf numFmtId="0" fontId="0" fillId="0" borderId="22" xfId="0" applyBorder="1"/>
    <xf numFmtId="0" fontId="19" fillId="0" borderId="22" xfId="0" quotePrefix="1" applyFont="1" applyBorder="1" applyAlignment="1">
      <alignment horizontal="left"/>
    </xf>
    <xf numFmtId="0" fontId="36" fillId="0" borderId="22" xfId="0" quotePrefix="1" applyFont="1" applyBorder="1" applyAlignment="1">
      <alignment horizontal="left"/>
    </xf>
    <xf numFmtId="170" fontId="44" fillId="0" borderId="22" xfId="4" applyNumberFormat="1" applyFont="1" applyFill="1" applyBorder="1" applyProtection="1"/>
    <xf numFmtId="170" fontId="19" fillId="0" borderId="22" xfId="4" applyNumberFormat="1" applyFont="1" applyFill="1" applyBorder="1" applyProtection="1"/>
    <xf numFmtId="170" fontId="44" fillId="0" borderId="0" xfId="4" applyNumberFormat="1" applyFont="1" applyFill="1" applyProtection="1"/>
    <xf numFmtId="170" fontId="19" fillId="0" borderId="0" xfId="4" applyNumberFormat="1" applyFont="1" applyFill="1" applyProtection="1"/>
    <xf numFmtId="0" fontId="19" fillId="0" borderId="0" xfId="0" applyFont="1"/>
    <xf numFmtId="0" fontId="36" fillId="0" borderId="0" xfId="0" applyFont="1"/>
    <xf numFmtId="169" fontId="45" fillId="0" borderId="0" xfId="4" applyNumberFormat="1" applyFont="1" applyFill="1" applyBorder="1" applyProtection="1"/>
    <xf numFmtId="185" fontId="0" fillId="0" borderId="0" xfId="0" applyNumberFormat="1"/>
    <xf numFmtId="0" fontId="5" fillId="0" borderId="22" xfId="0" applyFont="1" applyBorder="1"/>
    <xf numFmtId="0" fontId="20" fillId="0" borderId="0" xfId="0" applyFont="1" applyAlignment="1">
      <alignment horizontal="center"/>
    </xf>
    <xf numFmtId="175" fontId="0" fillId="0" borderId="0" xfId="4" applyNumberFormat="1" applyFont="1" applyFill="1" applyBorder="1" applyProtection="1"/>
    <xf numFmtId="175" fontId="0" fillId="0" borderId="0" xfId="4" applyNumberFormat="1" applyFont="1" applyFill="1" applyProtection="1"/>
    <xf numFmtId="173" fontId="19" fillId="0" borderId="0" xfId="4" applyNumberFormat="1" applyFont="1" applyFill="1" applyBorder="1" applyProtection="1"/>
    <xf numFmtId="0" fontId="33" fillId="0" borderId="1" xfId="0" applyFont="1" applyBorder="1"/>
    <xf numFmtId="0" fontId="36" fillId="0" borderId="0" xfId="0" applyFont="1" applyAlignment="1">
      <alignment horizontal="right" vertical="center"/>
    </xf>
    <xf numFmtId="0" fontId="21" fillId="0" borderId="0" xfId="0" quotePrefix="1" applyFont="1" applyAlignment="1">
      <alignment horizontal="right"/>
    </xf>
    <xf numFmtId="0" fontId="0" fillId="0" borderId="16" xfId="0" applyBorder="1"/>
    <xf numFmtId="0" fontId="0" fillId="0" borderId="17" xfId="0" applyBorder="1"/>
    <xf numFmtId="0" fontId="5" fillId="0" borderId="17" xfId="0" applyFont="1" applyBorder="1"/>
    <xf numFmtId="0" fontId="21" fillId="0" borderId="17" xfId="0" applyFont="1" applyBorder="1"/>
    <xf numFmtId="172" fontId="0" fillId="0" borderId="17" xfId="0" applyNumberFormat="1" applyBorder="1"/>
    <xf numFmtId="172" fontId="0" fillId="0" borderId="18" xfId="0" applyNumberFormat="1" applyBorder="1"/>
    <xf numFmtId="0" fontId="0" fillId="0" borderId="21" xfId="0" applyBorder="1"/>
    <xf numFmtId="0" fontId="21" fillId="0" borderId="22" xfId="0" applyFont="1" applyBorder="1"/>
    <xf numFmtId="171" fontId="0" fillId="0" borderId="22" xfId="0" applyNumberFormat="1" applyBorder="1" applyAlignment="1">
      <alignment horizontal="right"/>
    </xf>
    <xf numFmtId="185" fontId="0" fillId="0" borderId="22" xfId="0" applyNumberFormat="1" applyBorder="1" applyAlignment="1">
      <alignment horizontal="right"/>
    </xf>
    <xf numFmtId="185" fontId="0" fillId="0" borderId="23" xfId="0" applyNumberFormat="1" applyBorder="1" applyAlignment="1">
      <alignment horizontal="right"/>
    </xf>
    <xf numFmtId="0" fontId="39" fillId="0" borderId="0" xfId="0" applyFont="1"/>
    <xf numFmtId="0" fontId="39" fillId="0" borderId="0" xfId="0" applyFont="1" applyAlignment="1">
      <alignment horizontal="left"/>
    </xf>
    <xf numFmtId="172" fontId="20" fillId="0" borderId="0" xfId="4" applyNumberFormat="1" applyFont="1" applyBorder="1" applyProtection="1"/>
    <xf numFmtId="172" fontId="0" fillId="0" borderId="0" xfId="4" applyNumberFormat="1" applyFont="1" applyBorder="1" applyProtection="1"/>
    <xf numFmtId="0" fontId="46" fillId="0" borderId="0" xfId="0" applyFont="1"/>
    <xf numFmtId="172" fontId="19" fillId="0" borderId="0" xfId="4" applyNumberFormat="1" applyFont="1" applyBorder="1" applyProtection="1"/>
    <xf numFmtId="37" fontId="0" fillId="0" borderId="0" xfId="4" applyNumberFormat="1" applyFont="1" applyBorder="1" applyProtection="1"/>
    <xf numFmtId="39" fontId="20" fillId="0" borderId="0" xfId="4" applyNumberFormat="1" applyFont="1" applyBorder="1" applyProtection="1"/>
    <xf numFmtId="37" fontId="0" fillId="0" borderId="0" xfId="0" applyNumberFormat="1"/>
    <xf numFmtId="37" fontId="19" fillId="0" borderId="0" xfId="4" applyNumberFormat="1" applyFont="1" applyBorder="1" applyProtection="1"/>
    <xf numFmtId="173" fontId="19" fillId="0" borderId="0" xfId="4" applyNumberFormat="1" applyFont="1" applyBorder="1" applyProtection="1"/>
    <xf numFmtId="173" fontId="19" fillId="0" borderId="26" xfId="4" applyNumberFormat="1" applyFont="1" applyBorder="1" applyProtection="1"/>
    <xf numFmtId="0" fontId="19" fillId="0" borderId="22" xfId="0" applyFont="1" applyBorder="1"/>
    <xf numFmtId="0" fontId="46" fillId="0" borderId="22" xfId="0" applyFont="1" applyBorder="1"/>
    <xf numFmtId="37" fontId="19" fillId="0" borderId="22" xfId="4" applyNumberFormat="1" applyFont="1" applyBorder="1" applyProtection="1"/>
    <xf numFmtId="0" fontId="19" fillId="0" borderId="1" xfId="0" quotePrefix="1" applyFont="1" applyBorder="1" applyAlignment="1">
      <alignment horizontal="left"/>
    </xf>
    <xf numFmtId="0" fontId="19" fillId="0" borderId="1" xfId="0" applyFont="1" applyBorder="1"/>
    <xf numFmtId="0" fontId="46" fillId="0" borderId="1" xfId="0" applyFont="1" applyBorder="1"/>
    <xf numFmtId="37" fontId="19" fillId="0" borderId="1" xfId="4" applyNumberFormat="1" applyFont="1" applyBorder="1" applyProtection="1"/>
    <xf numFmtId="170" fontId="0" fillId="0" borderId="0" xfId="4" applyNumberFormat="1" applyFont="1" applyBorder="1" applyProtection="1"/>
    <xf numFmtId="0" fontId="28" fillId="0" borderId="0" xfId="0" quotePrefix="1" applyFont="1"/>
    <xf numFmtId="164" fontId="20" fillId="0" borderId="0" xfId="0" applyNumberFormat="1" applyFont="1"/>
    <xf numFmtId="171" fontId="0" fillId="0" borderId="0" xfId="0" applyNumberFormat="1"/>
    <xf numFmtId="0" fontId="0" fillId="0" borderId="24" xfId="0" applyBorder="1"/>
    <xf numFmtId="0" fontId="0" fillId="0" borderId="25" xfId="0" applyBorder="1"/>
    <xf numFmtId="0" fontId="21" fillId="0" borderId="25" xfId="0" applyFont="1" applyBorder="1"/>
    <xf numFmtId="172" fontId="0" fillId="0" borderId="25" xfId="4" applyNumberFormat="1" applyFont="1" applyBorder="1" applyAlignment="1" applyProtection="1">
      <alignment horizontal="right"/>
    </xf>
    <xf numFmtId="172" fontId="20" fillId="0" borderId="1" xfId="4" applyNumberFormat="1" applyFont="1" applyBorder="1" applyProtection="1"/>
    <xf numFmtId="172" fontId="19" fillId="0" borderId="0" xfId="4" applyNumberFormat="1" applyFont="1" applyBorder="1" applyAlignment="1" applyProtection="1">
      <alignment horizontal="right"/>
    </xf>
    <xf numFmtId="37" fontId="21" fillId="0" borderId="0" xfId="0" applyNumberFormat="1" applyFont="1"/>
    <xf numFmtId="37" fontId="20" fillId="0" borderId="0" xfId="0" applyNumberFormat="1" applyFont="1"/>
    <xf numFmtId="172" fontId="20" fillId="0" borderId="0" xfId="4" applyNumberFormat="1" applyFont="1" applyFill="1" applyBorder="1" applyAlignment="1" applyProtection="1">
      <alignment horizontal="right"/>
      <protection locked="0"/>
    </xf>
    <xf numFmtId="172" fontId="20" fillId="0" borderId="1" xfId="4" applyNumberFormat="1" applyFont="1" applyBorder="1" applyAlignment="1" applyProtection="1">
      <alignment horizontal="right"/>
    </xf>
    <xf numFmtId="37" fontId="19" fillId="0" borderId="0" xfId="4" applyNumberFormat="1" applyFont="1" applyBorder="1" applyAlignment="1" applyProtection="1">
      <alignment horizontal="right"/>
    </xf>
    <xf numFmtId="172" fontId="20" fillId="0" borderId="1" xfId="4" applyNumberFormat="1" applyFont="1" applyFill="1" applyBorder="1" applyAlignment="1" applyProtection="1">
      <alignment horizontal="right"/>
    </xf>
    <xf numFmtId="172" fontId="19" fillId="0" borderId="0" xfId="4" applyNumberFormat="1" applyFont="1" applyFill="1" applyBorder="1" applyProtection="1"/>
    <xf numFmtId="190" fontId="0" fillId="0" borderId="0" xfId="4" applyNumberFormat="1" applyFont="1" applyBorder="1" applyProtection="1"/>
    <xf numFmtId="172" fontId="20" fillId="0" borderId="1" xfId="4" applyNumberFormat="1" applyFont="1" applyFill="1" applyBorder="1" applyProtection="1">
      <protection locked="0"/>
    </xf>
    <xf numFmtId="172" fontId="20" fillId="0" borderId="1" xfId="4" applyNumberFormat="1" applyFont="1" applyFill="1" applyBorder="1" applyProtection="1"/>
    <xf numFmtId="39" fontId="19" fillId="0" borderId="0" xfId="4" applyNumberFormat="1" applyFont="1" applyBorder="1" applyProtection="1"/>
    <xf numFmtId="172" fontId="0" fillId="0" borderId="0" xfId="0" applyNumberFormat="1"/>
    <xf numFmtId="165" fontId="19" fillId="0" borderId="0" xfId="0" quotePrefix="1" applyNumberFormat="1" applyFont="1" applyAlignment="1">
      <alignment horizontal="left"/>
    </xf>
    <xf numFmtId="173" fontId="19" fillId="0" borderId="26" xfId="0" applyNumberFormat="1" applyFont="1" applyBorder="1"/>
    <xf numFmtId="165" fontId="19" fillId="0" borderId="0" xfId="0" applyNumberFormat="1" applyFont="1" applyAlignment="1">
      <alignment horizontal="left"/>
    </xf>
    <xf numFmtId="173" fontId="19" fillId="0" borderId="0" xfId="0" applyNumberFormat="1" applyFont="1"/>
    <xf numFmtId="0" fontId="19" fillId="0" borderId="7" xfId="0" applyFont="1" applyBorder="1"/>
    <xf numFmtId="0" fontId="33" fillId="0" borderId="8" xfId="0" applyFont="1" applyBorder="1"/>
    <xf numFmtId="170" fontId="0" fillId="0" borderId="8" xfId="4" applyNumberFormat="1" applyFont="1" applyBorder="1" applyProtection="1"/>
    <xf numFmtId="195" fontId="28" fillId="0" borderId="0" xfId="0" applyNumberFormat="1" applyFont="1"/>
    <xf numFmtId="9" fontId="19" fillId="0" borderId="0" xfId="0" applyNumberFormat="1" applyFont="1"/>
    <xf numFmtId="0" fontId="33" fillId="0" borderId="0" xfId="0" quotePrefix="1" applyFont="1"/>
    <xf numFmtId="0" fontId="33" fillId="0" borderId="1" xfId="0" quotePrefix="1" applyFont="1" applyBorder="1"/>
    <xf numFmtId="181" fontId="28" fillId="0" borderId="1" xfId="0" applyNumberFormat="1" applyFont="1" applyBorder="1"/>
    <xf numFmtId="195" fontId="28" fillId="0" borderId="1" xfId="0" applyNumberFormat="1" applyFont="1" applyBorder="1"/>
    <xf numFmtId="0" fontId="47" fillId="0" borderId="8" xfId="0" quotePrefix="1" applyFont="1" applyBorder="1"/>
    <xf numFmtId="168" fontId="28" fillId="0" borderId="0" xfId="4" applyFont="1" applyBorder="1" applyProtection="1"/>
    <xf numFmtId="0" fontId="28" fillId="0" borderId="0" xfId="0" quotePrefix="1" applyFont="1" applyAlignment="1">
      <alignment horizontal="left"/>
    </xf>
    <xf numFmtId="0" fontId="0" fillId="0" borderId="0" xfId="0" applyAlignment="1">
      <alignment horizontal="right"/>
    </xf>
    <xf numFmtId="178" fontId="21" fillId="0" borderId="0" xfId="0" applyNumberFormat="1" applyFont="1" applyAlignment="1">
      <alignment horizontal="right"/>
    </xf>
    <xf numFmtId="0" fontId="21" fillId="0" borderId="0" xfId="0" applyFont="1" applyAlignment="1">
      <alignment horizontal="right"/>
    </xf>
    <xf numFmtId="37" fontId="0" fillId="0" borderId="0" xfId="4" applyNumberFormat="1" applyFont="1" applyProtection="1"/>
    <xf numFmtId="172" fontId="41" fillId="0" borderId="0" xfId="4" applyNumberFormat="1" applyFont="1" applyFill="1" applyProtection="1">
      <protection locked="0"/>
    </xf>
    <xf numFmtId="172" fontId="0" fillId="0" borderId="0" xfId="4" applyNumberFormat="1" applyFont="1" applyProtection="1"/>
    <xf numFmtId="37" fontId="0" fillId="0" borderId="0" xfId="4" applyNumberFormat="1" applyFont="1" applyFill="1" applyProtection="1"/>
    <xf numFmtId="172" fontId="0" fillId="0" borderId="0" xfId="4" applyNumberFormat="1" applyFont="1" applyFill="1" applyProtection="1"/>
    <xf numFmtId="37" fontId="20" fillId="0" borderId="0" xfId="4" applyNumberFormat="1" applyFont="1" applyBorder="1" applyProtection="1"/>
    <xf numFmtId="172" fontId="41" fillId="0" borderId="1" xfId="4" applyNumberFormat="1" applyFont="1" applyFill="1" applyBorder="1" applyAlignment="1" applyProtection="1">
      <alignment horizontal="right"/>
      <protection locked="0"/>
    </xf>
    <xf numFmtId="172" fontId="20" fillId="0" borderId="1" xfId="4" applyNumberFormat="1" applyFont="1" applyFill="1" applyBorder="1" applyAlignment="1" applyProtection="1">
      <alignment horizontal="right"/>
      <protection locked="0"/>
    </xf>
    <xf numFmtId="172" fontId="19" fillId="0" borderId="0" xfId="4" applyNumberFormat="1" applyFont="1" applyProtection="1"/>
    <xf numFmtId="170" fontId="0" fillId="0" borderId="0" xfId="4" applyNumberFormat="1" applyFont="1" applyProtection="1"/>
    <xf numFmtId="170" fontId="0" fillId="0" borderId="0" xfId="4" applyNumberFormat="1" applyFont="1" applyFill="1" applyBorder="1" applyProtection="1"/>
    <xf numFmtId="37" fontId="20" fillId="0" borderId="0" xfId="4" applyNumberFormat="1" applyFont="1" applyFill="1" applyProtection="1"/>
    <xf numFmtId="172" fontId="20" fillId="0" borderId="0" xfId="4" applyNumberFormat="1" applyFont="1" applyFill="1" applyProtection="1">
      <protection locked="0"/>
    </xf>
    <xf numFmtId="172" fontId="19" fillId="0" borderId="8" xfId="4" applyNumberFormat="1" applyFont="1" applyBorder="1" applyProtection="1"/>
    <xf numFmtId="164" fontId="19" fillId="0" borderId="0" xfId="4" applyNumberFormat="1" applyFont="1" applyProtection="1"/>
    <xf numFmtId="192" fontId="19" fillId="0" borderId="0" xfId="4" applyNumberFormat="1" applyFont="1" applyProtection="1"/>
    <xf numFmtId="164" fontId="48" fillId="0" borderId="0" xfId="4" applyNumberFormat="1" applyFont="1" applyProtection="1"/>
    <xf numFmtId="37" fontId="19" fillId="0" borderId="0" xfId="4" applyNumberFormat="1" applyFont="1" applyProtection="1"/>
    <xf numFmtId="174" fontId="19" fillId="0" borderId="0" xfId="4" applyNumberFormat="1" applyFont="1" applyProtection="1"/>
    <xf numFmtId="0" fontId="19" fillId="0" borderId="8" xfId="0" quotePrefix="1" applyFont="1" applyBorder="1" applyAlignment="1">
      <alignment horizontal="left"/>
    </xf>
    <xf numFmtId="37" fontId="19" fillId="0" borderId="8" xfId="4" applyNumberFormat="1" applyFont="1" applyBorder="1" applyProtection="1"/>
    <xf numFmtId="172" fontId="0" fillId="0" borderId="8" xfId="4" applyNumberFormat="1" applyFont="1" applyBorder="1" applyProtection="1"/>
    <xf numFmtId="172" fontId="49" fillId="0" borderId="0" xfId="4" applyNumberFormat="1" applyFont="1" applyBorder="1" applyProtection="1"/>
    <xf numFmtId="172" fontId="22" fillId="0" borderId="0" xfId="4" applyNumberFormat="1" applyFont="1" applyBorder="1" applyProtection="1"/>
    <xf numFmtId="0" fontId="0" fillId="0" borderId="10" xfId="0" applyBorder="1" applyAlignment="1">
      <alignment horizontal="left"/>
    </xf>
    <xf numFmtId="196" fontId="0" fillId="0" borderId="1" xfId="4" applyNumberFormat="1" applyFont="1" applyBorder="1" applyProtection="1"/>
    <xf numFmtId="0" fontId="39" fillId="0" borderId="0" xfId="0" applyFont="1" applyAlignment="1">
      <alignment horizontal="centerContinuous"/>
    </xf>
    <xf numFmtId="0" fontId="28" fillId="0" borderId="0" xfId="0" applyFont="1" applyAlignment="1">
      <alignment horizontal="left"/>
    </xf>
    <xf numFmtId="37" fontId="20" fillId="0" borderId="0" xfId="4" applyNumberFormat="1" applyFont="1" applyFill="1" applyBorder="1" applyProtection="1"/>
    <xf numFmtId="174" fontId="0" fillId="0" borderId="0" xfId="4" applyNumberFormat="1" applyFont="1" applyProtection="1"/>
    <xf numFmtId="172" fontId="41" fillId="0" borderId="0" xfId="4" applyNumberFormat="1" applyFont="1" applyFill="1" applyBorder="1" applyProtection="1">
      <protection locked="0"/>
    </xf>
    <xf numFmtId="172" fontId="20" fillId="0" borderId="0" xfId="4" applyNumberFormat="1" applyFont="1" applyFill="1" applyBorder="1" applyProtection="1">
      <protection locked="0"/>
    </xf>
    <xf numFmtId="174" fontId="50" fillId="0" borderId="0" xfId="4" applyNumberFormat="1" applyFont="1" applyBorder="1" applyProtection="1"/>
    <xf numFmtId="37" fontId="0" fillId="0" borderId="0" xfId="4" applyNumberFormat="1" applyFont="1" applyFill="1" applyBorder="1" applyProtection="1"/>
    <xf numFmtId="169" fontId="0" fillId="0" borderId="0" xfId="4" applyNumberFormat="1" applyFont="1" applyBorder="1" applyProtection="1"/>
    <xf numFmtId="169" fontId="0" fillId="0" borderId="0" xfId="4" applyNumberFormat="1" applyFont="1" applyProtection="1"/>
    <xf numFmtId="0" fontId="28" fillId="0" borderId="0" xfId="0" applyFont="1"/>
    <xf numFmtId="177" fontId="28" fillId="0" borderId="0" xfId="4" applyNumberFormat="1" applyFont="1" applyBorder="1" applyProtection="1"/>
    <xf numFmtId="177" fontId="28" fillId="0" borderId="0" xfId="4" applyNumberFormat="1" applyFont="1" applyProtection="1"/>
    <xf numFmtId="0" fontId="28" fillId="0" borderId="1" xfId="0" quotePrefix="1" applyFont="1" applyBorder="1" applyAlignment="1">
      <alignment horizontal="left"/>
    </xf>
    <xf numFmtId="177" fontId="0" fillId="0" borderId="1" xfId="0" applyNumberFormat="1" applyBorder="1"/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46" fillId="0" borderId="0" xfId="0" applyFont="1" applyAlignment="1">
      <alignment horizontal="centerContinuous"/>
    </xf>
    <xf numFmtId="0" fontId="19" fillId="0" borderId="1" xfId="0" applyFont="1" applyBorder="1" applyAlignment="1">
      <alignment horizontal="centerContinuous"/>
    </xf>
    <xf numFmtId="0" fontId="55" fillId="0" borderId="0" xfId="0" applyFont="1" applyAlignment="1">
      <alignment horizontal="right"/>
    </xf>
    <xf numFmtId="0" fontId="56" fillId="0" borderId="0" xfId="0" applyFont="1"/>
    <xf numFmtId="0" fontId="56" fillId="0" borderId="7" xfId="0" applyFont="1" applyBorder="1" applyAlignment="1">
      <alignment horizontal="left" vertical="center"/>
    </xf>
    <xf numFmtId="191" fontId="57" fillId="0" borderId="0" xfId="0" applyNumberFormat="1" applyFont="1"/>
    <xf numFmtId="37" fontId="56" fillId="0" borderId="0" xfId="0" applyNumberFormat="1" applyFont="1"/>
    <xf numFmtId="0" fontId="58" fillId="0" borderId="0" xfId="0" applyFont="1"/>
    <xf numFmtId="0" fontId="56" fillId="0" borderId="10" xfId="0" applyFont="1" applyBorder="1" applyAlignment="1">
      <alignment horizontal="left" vertical="center"/>
    </xf>
    <xf numFmtId="0" fontId="56" fillId="0" borderId="1" xfId="0" quotePrefix="1" applyFont="1" applyBorder="1" applyAlignment="1">
      <alignment horizontal="left" vertical="center"/>
    </xf>
    <xf numFmtId="0" fontId="56" fillId="0" borderId="1" xfId="0" applyFont="1" applyBorder="1" applyAlignment="1">
      <alignment vertical="center"/>
    </xf>
    <xf numFmtId="0" fontId="59" fillId="0" borderId="0" xfId="0" applyFont="1" applyAlignment="1">
      <alignment horizontal="right"/>
    </xf>
    <xf numFmtId="37" fontId="0" fillId="0" borderId="1" xfId="4" applyNumberFormat="1" applyFont="1" applyBorder="1" applyProtection="1"/>
    <xf numFmtId="0" fontId="59" fillId="0" borderId="0" xfId="0" applyFont="1"/>
    <xf numFmtId="0" fontId="19" fillId="0" borderId="13" xfId="0" applyFont="1" applyBorder="1"/>
    <xf numFmtId="0" fontId="0" fillId="0" borderId="14" xfId="0" applyBorder="1"/>
    <xf numFmtId="37" fontId="60" fillId="0" borderId="0" xfId="0" applyNumberFormat="1" applyFont="1"/>
    <xf numFmtId="171" fontId="42" fillId="0" borderId="0" xfId="0" applyNumberFormat="1" applyFont="1"/>
    <xf numFmtId="37" fontId="32" fillId="0" borderId="8" xfId="0" applyNumberFormat="1" applyFont="1" applyBorder="1"/>
    <xf numFmtId="37" fontId="20" fillId="0" borderId="8" xfId="0" applyNumberFormat="1" applyFont="1" applyBorder="1"/>
    <xf numFmtId="37" fontId="29" fillId="0" borderId="0" xfId="0" applyNumberFormat="1" applyFont="1"/>
    <xf numFmtId="0" fontId="19" fillId="0" borderId="10" xfId="0" applyFont="1" applyBorder="1"/>
    <xf numFmtId="37" fontId="53" fillId="0" borderId="1" xfId="0" applyNumberFormat="1" applyFont="1" applyBorder="1"/>
    <xf numFmtId="37" fontId="29" fillId="0" borderId="1" xfId="0" applyNumberFormat="1" applyFont="1" applyBorder="1"/>
    <xf numFmtId="37" fontId="35" fillId="0" borderId="1" xfId="0" applyNumberFormat="1" applyFont="1" applyBorder="1"/>
    <xf numFmtId="0" fontId="62" fillId="0" borderId="0" xfId="0" applyFont="1"/>
    <xf numFmtId="37" fontId="32" fillId="0" borderId="1" xfId="0" applyNumberFormat="1" applyFont="1" applyBorder="1"/>
    <xf numFmtId="37" fontId="20" fillId="0" borderId="1" xfId="0" applyNumberFormat="1" applyFont="1" applyBorder="1"/>
    <xf numFmtId="0" fontId="5" fillId="0" borderId="25" xfId="0" applyFont="1" applyBorder="1"/>
    <xf numFmtId="4" fontId="19" fillId="0" borderId="0" xfId="0" applyNumberFormat="1" applyFont="1"/>
    <xf numFmtId="4" fontId="0" fillId="0" borderId="0" xfId="4" applyNumberFormat="1" applyFont="1" applyFill="1" applyBorder="1" applyProtection="1"/>
    <xf numFmtId="4" fontId="0" fillId="0" borderId="0" xfId="0" applyNumberFormat="1"/>
    <xf numFmtId="168" fontId="56" fillId="0" borderId="0" xfId="4" applyFont="1" applyProtection="1"/>
    <xf numFmtId="184" fontId="20" fillId="0" borderId="0" xfId="4" applyNumberFormat="1" applyFont="1" applyProtection="1"/>
    <xf numFmtId="4" fontId="0" fillId="0" borderId="0" xfId="4" applyNumberFormat="1" applyFont="1" applyFill="1" applyBorder="1" applyAlignment="1" applyProtection="1">
      <alignment horizontal="left"/>
    </xf>
    <xf numFmtId="168" fontId="56" fillId="0" borderId="0" xfId="4" applyFont="1" applyFill="1" applyProtection="1"/>
    <xf numFmtId="184" fontId="20" fillId="0" borderId="0" xfId="4" applyNumberFormat="1" applyFont="1" applyFill="1" applyProtection="1"/>
    <xf numFmtId="184" fontId="0" fillId="0" borderId="0" xfId="0" applyNumberFormat="1"/>
    <xf numFmtId="4" fontId="19" fillId="0" borderId="0" xfId="4" applyNumberFormat="1" applyFont="1" applyFill="1" applyBorder="1" applyProtection="1"/>
    <xf numFmtId="169" fontId="0" fillId="0" borderId="1" xfId="4" applyNumberFormat="1" applyFont="1" applyBorder="1" applyProtection="1"/>
    <xf numFmtId="178" fontId="21" fillId="0" borderId="0" xfId="0" quotePrefix="1" applyNumberFormat="1" applyFont="1" applyAlignment="1">
      <alignment horizontal="right"/>
    </xf>
    <xf numFmtId="194" fontId="0" fillId="0" borderId="0" xfId="0" applyNumberFormat="1"/>
    <xf numFmtId="164" fontId="19" fillId="0" borderId="0" xfId="0" applyNumberFormat="1" applyFont="1"/>
    <xf numFmtId="181" fontId="66" fillId="0" borderId="0" xfId="9" applyNumberFormat="1" applyFont="1"/>
    <xf numFmtId="0" fontId="16" fillId="0" borderId="0" xfId="7" applyFont="1" applyAlignment="1">
      <alignment horizontal="centerContinuous"/>
    </xf>
    <xf numFmtId="0" fontId="67" fillId="0" borderId="0" xfId="7" applyFont="1" applyAlignment="1">
      <alignment horizontal="centerContinuous"/>
    </xf>
    <xf numFmtId="0" fontId="54" fillId="0" borderId="0" xfId="7" applyFont="1" applyAlignment="1">
      <alignment horizontal="centerContinuous"/>
    </xf>
    <xf numFmtId="0" fontId="3" fillId="0" borderId="0" xfId="7"/>
    <xf numFmtId="0" fontId="27" fillId="0" borderId="0" xfId="7" applyFont="1" applyAlignment="1">
      <alignment horizontal="centerContinuous"/>
    </xf>
    <xf numFmtId="0" fontId="68" fillId="0" borderId="0" xfId="7" applyFont="1" applyAlignment="1">
      <alignment horizontal="centerContinuous"/>
    </xf>
    <xf numFmtId="0" fontId="19" fillId="0" borderId="0" xfId="7" applyFont="1" applyAlignment="1">
      <alignment horizontal="centerContinuous"/>
    </xf>
    <xf numFmtId="0" fontId="69" fillId="0" borderId="0" xfId="7" applyFont="1" applyAlignment="1">
      <alignment horizontal="centerContinuous"/>
    </xf>
    <xf numFmtId="0" fontId="3" fillId="0" borderId="5" xfId="7" applyBorder="1"/>
    <xf numFmtId="0" fontId="3" fillId="0" borderId="1" xfId="7" applyBorder="1"/>
    <xf numFmtId="0" fontId="3" fillId="0" borderId="6" xfId="7" applyBorder="1"/>
    <xf numFmtId="178" fontId="21" fillId="0" borderId="0" xfId="0" applyNumberFormat="1" applyFont="1"/>
    <xf numFmtId="193" fontId="21" fillId="0" borderId="0" xfId="0" quotePrefix="1" applyNumberFormat="1" applyFont="1" applyAlignment="1">
      <alignment horizontal="right"/>
    </xf>
    <xf numFmtId="0" fontId="19" fillId="0" borderId="0" xfId="7" applyFont="1"/>
    <xf numFmtId="0" fontId="5" fillId="0" borderId="0" xfId="7" applyFont="1"/>
    <xf numFmtId="164" fontId="3" fillId="0" borderId="0" xfId="4" applyNumberFormat="1" applyFont="1" applyBorder="1"/>
    <xf numFmtId="0" fontId="62" fillId="0" borderId="0" xfId="7" applyFont="1"/>
    <xf numFmtId="0" fontId="33" fillId="0" borderId="0" xfId="7" applyFont="1"/>
    <xf numFmtId="0" fontId="3" fillId="0" borderId="10" xfId="7" applyBorder="1"/>
    <xf numFmtId="0" fontId="3" fillId="0" borderId="11" xfId="7" applyBorder="1"/>
    <xf numFmtId="0" fontId="28" fillId="0" borderId="0" xfId="7" applyFont="1"/>
    <xf numFmtId="0" fontId="3" fillId="0" borderId="0" xfId="7" applyAlignment="1">
      <alignment horizontal="right"/>
    </xf>
    <xf numFmtId="0" fontId="3" fillId="0" borderId="0" xfId="7" applyAlignment="1">
      <alignment vertical="center"/>
    </xf>
    <xf numFmtId="0" fontId="3" fillId="0" borderId="7" xfId="7" applyBorder="1" applyAlignment="1">
      <alignment vertical="center"/>
    </xf>
    <xf numFmtId="0" fontId="3" fillId="0" borderId="8" xfId="7" applyBorder="1" applyAlignment="1">
      <alignment vertical="center"/>
    </xf>
    <xf numFmtId="0" fontId="39" fillId="0" borderId="14" xfId="7" applyFont="1" applyBorder="1" applyAlignment="1">
      <alignment horizontal="centerContinuous" vertical="center"/>
    </xf>
    <xf numFmtId="0" fontId="28" fillId="0" borderId="14" xfId="7" applyFont="1" applyBorder="1" applyAlignment="1">
      <alignment horizontal="centerContinuous" vertical="center"/>
    </xf>
    <xf numFmtId="0" fontId="3" fillId="0" borderId="9" xfId="7" applyBorder="1" applyAlignment="1">
      <alignment vertical="center"/>
    </xf>
    <xf numFmtId="0" fontId="3" fillId="0" borderId="5" xfId="7" applyBorder="1" applyAlignment="1">
      <alignment vertical="center"/>
    </xf>
    <xf numFmtId="0" fontId="3" fillId="0" borderId="1" xfId="7" applyBorder="1" applyAlignment="1">
      <alignment vertical="center"/>
    </xf>
    <xf numFmtId="178" fontId="19" fillId="0" borderId="1" xfId="0" applyNumberFormat="1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3" fillId="0" borderId="6" xfId="7" applyBorder="1" applyAlignment="1">
      <alignment vertical="center"/>
    </xf>
    <xf numFmtId="39" fontId="20" fillId="0" borderId="0" xfId="0" applyNumberFormat="1" applyFont="1" applyAlignment="1">
      <alignment horizontal="right"/>
    </xf>
    <xf numFmtId="0" fontId="0" fillId="0" borderId="32" xfId="0" applyBorder="1" applyAlignment="1">
      <alignment horizontal="center" vertical="center"/>
    </xf>
    <xf numFmtId="0" fontId="0" fillId="0" borderId="33" xfId="0" applyBorder="1"/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0" fillId="0" borderId="32" xfId="0" applyBorder="1"/>
    <xf numFmtId="0" fontId="0" fillId="0" borderId="34" xfId="0" applyBorder="1"/>
    <xf numFmtId="37" fontId="20" fillId="0" borderId="35" xfId="0" applyNumberFormat="1" applyFont="1" applyBorder="1" applyAlignment="1">
      <alignment horizontal="right"/>
    </xf>
    <xf numFmtId="0" fontId="0" fillId="0" borderId="32" xfId="0" quotePrefix="1" applyBorder="1" applyAlignment="1">
      <alignment horizontal="left"/>
    </xf>
    <xf numFmtId="0" fontId="21" fillId="0" borderId="32" xfId="0" applyFont="1" applyBorder="1" applyAlignment="1">
      <alignment vertical="center"/>
    </xf>
    <xf numFmtId="0" fontId="20" fillId="0" borderId="32" xfId="0" applyFont="1" applyBorder="1"/>
    <xf numFmtId="0" fontId="20" fillId="0" borderId="34" xfId="0" applyFont="1" applyBorder="1" applyAlignment="1">
      <alignment horizontal="left"/>
    </xf>
    <xf numFmtId="0" fontId="0" fillId="0" borderId="32" xfId="0" applyBorder="1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21" fillId="0" borderId="32" xfId="0" applyFont="1" applyBorder="1"/>
    <xf numFmtId="0" fontId="0" fillId="0" borderId="32" xfId="0" applyBorder="1" applyAlignment="1">
      <alignment horizontal="left"/>
    </xf>
    <xf numFmtId="180" fontId="0" fillId="0" borderId="32" xfId="0" applyNumberFormat="1" applyBorder="1" applyAlignment="1">
      <alignment horizontal="left"/>
    </xf>
    <xf numFmtId="180" fontId="0" fillId="0" borderId="35" xfId="0" quotePrefix="1" applyNumberFormat="1" applyBorder="1" applyAlignment="1">
      <alignment horizontal="left"/>
    </xf>
    <xf numFmtId="0" fontId="24" fillId="0" borderId="0" xfId="0" applyFont="1" applyAlignment="1">
      <alignment vertical="center"/>
    </xf>
    <xf numFmtId="0" fontId="19" fillId="0" borderId="32" xfId="0" applyFont="1" applyBorder="1"/>
    <xf numFmtId="173" fontId="20" fillId="0" borderId="33" xfId="0" applyNumberFormat="1" applyFont="1" applyBorder="1"/>
    <xf numFmtId="0" fontId="19" fillId="0" borderId="32" xfId="0" applyFont="1" applyBorder="1" applyAlignment="1">
      <alignment horizontal="left" vertical="center"/>
    </xf>
    <xf numFmtId="175" fontId="20" fillId="0" borderId="35" xfId="0" applyNumberFormat="1" applyFont="1" applyBorder="1"/>
    <xf numFmtId="175" fontId="20" fillId="0" borderId="36" xfId="0" applyNumberFormat="1" applyFont="1" applyBorder="1"/>
    <xf numFmtId="178" fontId="19" fillId="0" borderId="0" xfId="0" quotePrefix="1" applyNumberFormat="1" applyFont="1" applyAlignment="1">
      <alignment horizontal="right"/>
    </xf>
    <xf numFmtId="0" fontId="19" fillId="0" borderId="0" xfId="0" quotePrefix="1" applyFont="1" applyAlignment="1">
      <alignment horizontal="right"/>
    </xf>
    <xf numFmtId="0" fontId="19" fillId="0" borderId="0" xfId="0" applyFont="1" applyAlignment="1">
      <alignment horizontal="right"/>
    </xf>
    <xf numFmtId="0" fontId="19" fillId="0" borderId="8" xfId="0" quotePrefix="1" applyFont="1" applyBorder="1" applyAlignment="1">
      <alignment horizontal="right"/>
    </xf>
    <xf numFmtId="171" fontId="65" fillId="0" borderId="0" xfId="0" applyNumberFormat="1" applyFont="1"/>
    <xf numFmtId="0" fontId="19" fillId="0" borderId="0" xfId="9" quotePrefix="1" applyFont="1" applyAlignment="1">
      <alignment horizontal="right"/>
    </xf>
    <xf numFmtId="0" fontId="74" fillId="0" borderId="0" xfId="7" applyFont="1"/>
    <xf numFmtId="0" fontId="3" fillId="0" borderId="12" xfId="7" applyBorder="1"/>
    <xf numFmtId="0" fontId="36" fillId="0" borderId="0" xfId="7" applyFont="1"/>
    <xf numFmtId="0" fontId="27" fillId="0" borderId="12" xfId="0" applyFont="1" applyBorder="1" applyAlignment="1">
      <alignment horizontal="centerContinuous"/>
    </xf>
    <xf numFmtId="0" fontId="37" fillId="0" borderId="12" xfId="0" applyFont="1" applyBorder="1" applyAlignment="1">
      <alignment horizontal="centerContinuous"/>
    </xf>
    <xf numFmtId="0" fontId="38" fillId="0" borderId="12" xfId="0" applyFont="1" applyBorder="1" applyAlignment="1">
      <alignment horizontal="centerContinuous"/>
    </xf>
    <xf numFmtId="0" fontId="3" fillId="0" borderId="12" xfId="9" applyFont="1" applyBorder="1"/>
    <xf numFmtId="0" fontId="3" fillId="0" borderId="12" xfId="9" applyFont="1" applyBorder="1" applyAlignment="1">
      <alignment horizontal="center"/>
    </xf>
    <xf numFmtId="0" fontId="18" fillId="0" borderId="12" xfId="0" applyFont="1" applyBorder="1"/>
    <xf numFmtId="0" fontId="0" fillId="0" borderId="12" xfId="0" applyBorder="1"/>
    <xf numFmtId="0" fontId="73" fillId="3" borderId="0" xfId="7" applyFont="1" applyFill="1" applyAlignment="1">
      <alignment vertical="center"/>
    </xf>
    <xf numFmtId="0" fontId="3" fillId="3" borderId="0" xfId="7" applyFill="1" applyAlignment="1">
      <alignment vertical="center"/>
    </xf>
    <xf numFmtId="178" fontId="73" fillId="3" borderId="0" xfId="0" applyNumberFormat="1" applyFont="1" applyFill="1" applyAlignment="1">
      <alignment vertical="center"/>
    </xf>
    <xf numFmtId="0" fontId="73" fillId="3" borderId="0" xfId="0" applyFont="1" applyFill="1" applyAlignment="1">
      <alignment vertical="center"/>
    </xf>
    <xf numFmtId="0" fontId="3" fillId="3" borderId="35" xfId="7" applyFill="1" applyBorder="1" applyAlignment="1">
      <alignment vertical="center"/>
    </xf>
    <xf numFmtId="178" fontId="73" fillId="3" borderId="35" xfId="0" applyNumberFormat="1" applyFont="1" applyFill="1" applyBorder="1" applyAlignment="1">
      <alignment vertical="center"/>
    </xf>
    <xf numFmtId="0" fontId="73" fillId="3" borderId="35" xfId="0" applyFont="1" applyFill="1" applyBorder="1" applyAlignment="1">
      <alignment vertical="center"/>
    </xf>
    <xf numFmtId="0" fontId="73" fillId="3" borderId="29" xfId="0" applyFont="1" applyFill="1" applyBorder="1" applyAlignment="1">
      <alignment vertical="center"/>
    </xf>
    <xf numFmtId="0" fontId="0" fillId="3" borderId="30" xfId="0" applyFill="1" applyBorder="1"/>
    <xf numFmtId="0" fontId="0" fillId="3" borderId="31" xfId="0" applyFill="1" applyBorder="1"/>
    <xf numFmtId="0" fontId="0" fillId="3" borderId="30" xfId="0" applyFill="1" applyBorder="1" applyAlignment="1">
      <alignment vertical="center"/>
    </xf>
    <xf numFmtId="0" fontId="0" fillId="3" borderId="31" xfId="0" applyFill="1" applyBorder="1" applyAlignment="1">
      <alignment vertical="center"/>
    </xf>
    <xf numFmtId="0" fontId="73" fillId="3" borderId="31" xfId="0" applyFont="1" applyFill="1" applyBorder="1" applyAlignment="1">
      <alignment vertical="center"/>
    </xf>
    <xf numFmtId="0" fontId="3" fillId="4" borderId="0" xfId="7" applyFill="1"/>
    <xf numFmtId="178" fontId="21" fillId="4" borderId="0" xfId="0" applyNumberFormat="1" applyFont="1" applyFill="1"/>
    <xf numFmtId="193" fontId="21" fillId="4" borderId="0" xfId="0" quotePrefix="1" applyNumberFormat="1" applyFont="1" applyFill="1" applyAlignment="1">
      <alignment horizontal="right"/>
    </xf>
    <xf numFmtId="0" fontId="21" fillId="4" borderId="0" xfId="0" applyFont="1" applyFill="1"/>
    <xf numFmtId="0" fontId="19" fillId="4" borderId="32" xfId="0" applyFont="1" applyFill="1" applyBorder="1" applyAlignment="1">
      <alignment vertical="center"/>
    </xf>
    <xf numFmtId="0" fontId="0" fillId="4" borderId="0" xfId="0" applyFill="1"/>
    <xf numFmtId="0" fontId="0" fillId="4" borderId="33" xfId="0" applyFill="1" applyBorder="1"/>
    <xf numFmtId="0" fontId="73" fillId="3" borderId="30" xfId="0" applyFont="1" applyFill="1" applyBorder="1" applyAlignment="1">
      <alignment vertical="center"/>
    </xf>
    <xf numFmtId="0" fontId="3" fillId="5" borderId="0" xfId="7" applyFill="1"/>
    <xf numFmtId="178" fontId="21" fillId="5" borderId="0" xfId="0" applyNumberFormat="1" applyFont="1" applyFill="1"/>
    <xf numFmtId="193" fontId="21" fillId="5" borderId="0" xfId="0" quotePrefix="1" applyNumberFormat="1" applyFont="1" applyFill="1" applyAlignment="1">
      <alignment horizontal="right"/>
    </xf>
    <xf numFmtId="0" fontId="21" fillId="5" borderId="0" xfId="0" applyFont="1" applyFill="1"/>
    <xf numFmtId="0" fontId="19" fillId="5" borderId="32" xfId="0" applyFont="1" applyFill="1" applyBorder="1" applyAlignment="1">
      <alignment vertical="center"/>
    </xf>
    <xf numFmtId="0" fontId="0" fillId="5" borderId="0" xfId="0" applyFill="1"/>
    <xf numFmtId="0" fontId="0" fillId="5" borderId="33" xfId="0" applyFill="1" applyBorder="1"/>
    <xf numFmtId="0" fontId="76" fillId="0" borderId="0" xfId="7" applyFont="1"/>
    <xf numFmtId="0" fontId="77" fillId="0" borderId="0" xfId="7" applyFont="1"/>
    <xf numFmtId="0" fontId="79" fillId="0" borderId="0" xfId="7" applyFont="1"/>
    <xf numFmtId="0" fontId="3" fillId="3" borderId="37" xfId="7" applyFill="1" applyBorder="1" applyAlignment="1">
      <alignment vertical="center"/>
    </xf>
    <xf numFmtId="0" fontId="3" fillId="3" borderId="38" xfId="7" applyFill="1" applyBorder="1" applyAlignment="1">
      <alignment vertical="center"/>
    </xf>
    <xf numFmtId="0" fontId="70" fillId="3" borderId="38" xfId="7" applyFont="1" applyFill="1" applyBorder="1" applyAlignment="1">
      <alignment vertical="center"/>
    </xf>
    <xf numFmtId="0" fontId="71" fillId="3" borderId="39" xfId="7" applyFont="1" applyFill="1" applyBorder="1" applyAlignment="1">
      <alignment horizontal="centerContinuous" vertical="center"/>
    </xf>
    <xf numFmtId="0" fontId="72" fillId="3" borderId="39" xfId="7" applyFont="1" applyFill="1" applyBorder="1" applyAlignment="1">
      <alignment horizontal="centerContinuous" vertical="center"/>
    </xf>
    <xf numFmtId="0" fontId="70" fillId="3" borderId="40" xfId="7" applyFont="1" applyFill="1" applyBorder="1" applyAlignment="1">
      <alignment vertical="center"/>
    </xf>
    <xf numFmtId="0" fontId="3" fillId="3" borderId="41" xfId="7" applyFill="1" applyBorder="1" applyAlignment="1">
      <alignment vertical="center"/>
    </xf>
    <xf numFmtId="0" fontId="70" fillId="3" borderId="42" xfId="7" applyFont="1" applyFill="1" applyBorder="1" applyAlignment="1">
      <alignment vertical="center"/>
    </xf>
    <xf numFmtId="0" fontId="3" fillId="4" borderId="41" xfId="7" applyFill="1" applyBorder="1"/>
    <xf numFmtId="0" fontId="21" fillId="4" borderId="42" xfId="0" applyFont="1" applyFill="1" applyBorder="1"/>
    <xf numFmtId="0" fontId="3" fillId="5" borderId="41" xfId="7" applyFill="1" applyBorder="1"/>
    <xf numFmtId="0" fontId="21" fillId="5" borderId="42" xfId="0" applyFont="1" applyFill="1" applyBorder="1"/>
    <xf numFmtId="0" fontId="3" fillId="0" borderId="41" xfId="7" applyBorder="1"/>
    <xf numFmtId="0" fontId="3" fillId="0" borderId="42" xfId="7" applyBorder="1"/>
    <xf numFmtId="164" fontId="3" fillId="0" borderId="42" xfId="4" applyNumberFormat="1" applyFont="1" applyBorder="1"/>
    <xf numFmtId="195" fontId="28" fillId="0" borderId="42" xfId="0" applyNumberFormat="1" applyFont="1" applyBorder="1"/>
    <xf numFmtId="0" fontId="3" fillId="0" borderId="43" xfId="7" applyBorder="1"/>
    <xf numFmtId="0" fontId="3" fillId="0" borderId="44" xfId="7" applyBorder="1"/>
    <xf numFmtId="0" fontId="3" fillId="0" borderId="44" xfId="7" applyBorder="1" applyAlignment="1">
      <alignment horizontal="left"/>
    </xf>
    <xf numFmtId="0" fontId="3" fillId="0" borderId="45" xfId="7" applyBorder="1"/>
    <xf numFmtId="0" fontId="3" fillId="3" borderId="40" xfId="7" applyFill="1" applyBorder="1" applyAlignment="1">
      <alignment vertical="center"/>
    </xf>
    <xf numFmtId="0" fontId="3" fillId="3" borderId="42" xfId="7" applyFill="1" applyBorder="1" applyAlignment="1">
      <alignment vertical="center"/>
    </xf>
    <xf numFmtId="0" fontId="3" fillId="3" borderId="46" xfId="7" applyFill="1" applyBorder="1" applyAlignment="1">
      <alignment vertical="center"/>
    </xf>
    <xf numFmtId="0" fontId="3" fillId="3" borderId="47" xfId="7" applyFill="1" applyBorder="1" applyAlignment="1">
      <alignment vertical="center"/>
    </xf>
    <xf numFmtId="0" fontId="77" fillId="0" borderId="48" xfId="7" applyFont="1" applyBorder="1"/>
    <xf numFmtId="173" fontId="0" fillId="0" borderId="0" xfId="0" applyNumberFormat="1"/>
    <xf numFmtId="172" fontId="63" fillId="0" borderId="0" xfId="0" applyNumberFormat="1" applyFont="1"/>
    <xf numFmtId="164" fontId="0" fillId="0" borderId="0" xfId="0" applyNumberFormat="1"/>
    <xf numFmtId="172" fontId="0" fillId="0" borderId="0" xfId="4" applyNumberFormat="1" applyFont="1" applyFill="1" applyBorder="1" applyProtection="1"/>
    <xf numFmtId="184" fontId="0" fillId="0" borderId="25" xfId="0" applyNumberFormat="1" applyBorder="1"/>
    <xf numFmtId="175" fontId="63" fillId="0" borderId="0" xfId="4" applyNumberFormat="1" applyFont="1" applyFill="1" applyProtection="1"/>
    <xf numFmtId="172" fontId="56" fillId="0" borderId="0" xfId="0" applyNumberFormat="1" applyFont="1"/>
    <xf numFmtId="37" fontId="20" fillId="0" borderId="9" xfId="0" applyNumberFormat="1" applyFont="1" applyBorder="1"/>
    <xf numFmtId="172" fontId="56" fillId="0" borderId="1" xfId="0" applyNumberFormat="1" applyFont="1" applyBorder="1"/>
    <xf numFmtId="172" fontId="35" fillId="0" borderId="1" xfId="0" applyNumberFormat="1" applyFont="1" applyBorder="1"/>
    <xf numFmtId="173" fontId="35" fillId="0" borderId="0" xfId="0" applyNumberFormat="1" applyFont="1"/>
    <xf numFmtId="175" fontId="63" fillId="0" borderId="0" xfId="4" applyNumberFormat="1" applyFont="1" applyFill="1" applyBorder="1" applyProtection="1"/>
    <xf numFmtId="171" fontId="65" fillId="0" borderId="15" xfId="0" applyNumberFormat="1" applyFont="1" applyBorder="1"/>
    <xf numFmtId="184" fontId="63" fillId="0" borderId="9" xfId="0" applyNumberFormat="1" applyFont="1" applyBorder="1" applyAlignment="1">
      <alignment vertical="center"/>
    </xf>
    <xf numFmtId="184" fontId="63" fillId="0" borderId="11" xfId="0" applyNumberFormat="1" applyFont="1" applyBorder="1" applyAlignment="1">
      <alignment vertical="center"/>
    </xf>
    <xf numFmtId="196" fontId="0" fillId="0" borderId="0" xfId="4" applyNumberFormat="1" applyFont="1" applyFill="1" applyBorder="1" applyProtection="1"/>
    <xf numFmtId="174" fontId="0" fillId="0" borderId="0" xfId="4" applyNumberFormat="1" applyFont="1" applyFill="1" applyBorder="1" applyProtection="1"/>
    <xf numFmtId="172" fontId="0" fillId="0" borderId="8" xfId="4" applyNumberFormat="1" applyFont="1" applyFill="1" applyBorder="1" applyProtection="1"/>
    <xf numFmtId="172" fontId="22" fillId="0" borderId="0" xfId="4" applyNumberFormat="1" applyFont="1" applyFill="1" applyBorder="1" applyProtection="1"/>
    <xf numFmtId="196" fontId="0" fillId="0" borderId="1" xfId="4" applyNumberFormat="1" applyFont="1" applyFill="1" applyBorder="1" applyProtection="1"/>
    <xf numFmtId="172" fontId="63" fillId="0" borderId="0" xfId="4" applyNumberFormat="1" applyFont="1" applyFill="1" applyBorder="1" applyProtection="1"/>
    <xf numFmtId="172" fontId="63" fillId="0" borderId="0" xfId="4" applyNumberFormat="1" applyFont="1" applyFill="1" applyBorder="1" applyAlignment="1" applyProtection="1">
      <alignment horizontal="right"/>
    </xf>
    <xf numFmtId="172" fontId="0" fillId="0" borderId="25" xfId="4" applyNumberFormat="1" applyFont="1" applyFill="1" applyBorder="1" applyAlignment="1" applyProtection="1">
      <alignment horizontal="right"/>
    </xf>
    <xf numFmtId="172" fontId="0" fillId="0" borderId="27" xfId="4" applyNumberFormat="1" applyFont="1" applyFill="1" applyBorder="1" applyAlignment="1" applyProtection="1">
      <alignment horizontal="right"/>
    </xf>
    <xf numFmtId="172" fontId="0" fillId="0" borderId="0" xfId="4" applyNumberFormat="1" applyFont="1" applyFill="1" applyBorder="1" applyAlignment="1" applyProtection="1">
      <alignment horizontal="right"/>
    </xf>
    <xf numFmtId="37" fontId="19" fillId="0" borderId="0" xfId="4" applyNumberFormat="1" applyFont="1" applyFill="1" applyBorder="1" applyAlignment="1" applyProtection="1">
      <alignment horizontal="right"/>
    </xf>
    <xf numFmtId="190" fontId="0" fillId="0" borderId="0" xfId="4" applyNumberFormat="1" applyFont="1" applyFill="1" applyBorder="1" applyProtection="1"/>
    <xf numFmtId="37" fontId="19" fillId="0" borderId="0" xfId="4" applyNumberFormat="1" applyFont="1" applyFill="1" applyBorder="1" applyProtection="1"/>
    <xf numFmtId="39" fontId="19" fillId="0" borderId="0" xfId="4" applyNumberFormat="1" applyFont="1" applyFill="1" applyBorder="1" applyProtection="1"/>
    <xf numFmtId="168" fontId="0" fillId="0" borderId="0" xfId="4" applyFont="1" applyFill="1" applyBorder="1" applyProtection="1"/>
    <xf numFmtId="170" fontId="0" fillId="0" borderId="8" xfId="4" applyNumberFormat="1" applyFont="1" applyFill="1" applyBorder="1" applyProtection="1"/>
    <xf numFmtId="170" fontId="0" fillId="0" borderId="9" xfId="4" applyNumberFormat="1" applyFont="1" applyFill="1" applyBorder="1" applyProtection="1"/>
    <xf numFmtId="195" fontId="28" fillId="0" borderId="6" xfId="0" applyNumberFormat="1" applyFont="1" applyBorder="1"/>
    <xf numFmtId="195" fontId="28" fillId="0" borderId="11" xfId="0" applyNumberFormat="1" applyFont="1" applyBorder="1"/>
    <xf numFmtId="39" fontId="20" fillId="0" borderId="0" xfId="4" applyNumberFormat="1" applyFont="1" applyFill="1" applyBorder="1" applyProtection="1"/>
    <xf numFmtId="39" fontId="0" fillId="0" borderId="0" xfId="4" applyNumberFormat="1" applyFont="1" applyFill="1" applyBorder="1" applyProtection="1"/>
    <xf numFmtId="37" fontId="19" fillId="0" borderId="22" xfId="4" applyNumberFormat="1" applyFont="1" applyFill="1" applyBorder="1" applyProtection="1"/>
    <xf numFmtId="169" fontId="63" fillId="0" borderId="0" xfId="4" applyNumberFormat="1" applyFont="1" applyFill="1" applyBorder="1" applyProtection="1"/>
    <xf numFmtId="169" fontId="0" fillId="0" borderId="0" xfId="4" applyNumberFormat="1" applyFont="1" applyFill="1" applyBorder="1" applyProtection="1"/>
    <xf numFmtId="171" fontId="64" fillId="0" borderId="0" xfId="0" applyNumberFormat="1" applyFont="1"/>
    <xf numFmtId="170" fontId="19" fillId="0" borderId="0" xfId="4" applyNumberFormat="1" applyFont="1" applyFill="1" applyBorder="1" applyProtection="1"/>
    <xf numFmtId="175" fontId="35" fillId="0" borderId="13" xfId="0" applyNumberFormat="1" applyFont="1" applyBorder="1" applyAlignment="1">
      <alignment vertical="center"/>
    </xf>
    <xf numFmtId="175" fontId="32" fillId="0" borderId="16" xfId="4" applyNumberFormat="1" applyFont="1" applyFill="1" applyBorder="1" applyProtection="1"/>
    <xf numFmtId="175" fontId="32" fillId="0" borderId="17" xfId="4" applyNumberFormat="1" applyFont="1" applyFill="1" applyBorder="1" applyProtection="1"/>
    <xf numFmtId="175" fontId="32" fillId="0" borderId="18" xfId="0" applyNumberFormat="1" applyFont="1" applyBorder="1"/>
    <xf numFmtId="175" fontId="33" fillId="0" borderId="19" xfId="4" applyNumberFormat="1" applyFont="1" applyFill="1" applyBorder="1" applyProtection="1"/>
    <xf numFmtId="175" fontId="33" fillId="0" borderId="21" xfId="4" applyNumberFormat="1" applyFont="1" applyFill="1" applyBorder="1" applyProtection="1"/>
    <xf numFmtId="188" fontId="20" fillId="0" borderId="0" xfId="0" applyNumberFormat="1" applyFont="1"/>
    <xf numFmtId="175" fontId="20" fillId="0" borderId="0" xfId="0" applyNumberFormat="1" applyFont="1"/>
    <xf numFmtId="175" fontId="20" fillId="0" borderId="33" xfId="0" applyNumberFormat="1" applyFont="1" applyBorder="1"/>
    <xf numFmtId="0" fontId="20" fillId="0" borderId="33" xfId="0" applyFont="1" applyBorder="1" applyAlignment="1">
      <alignment horizontal="right"/>
    </xf>
    <xf numFmtId="3" fontId="20" fillId="0" borderId="33" xfId="0" applyNumberFormat="1" applyFont="1" applyBorder="1" applyAlignment="1">
      <alignment horizontal="right"/>
    </xf>
    <xf numFmtId="3" fontId="20" fillId="0" borderId="36" xfId="0" applyNumberFormat="1" applyFont="1" applyBorder="1" applyAlignment="1">
      <alignment horizontal="right"/>
    </xf>
    <xf numFmtId="171" fontId="20" fillId="0" borderId="33" xfId="0" applyNumberFormat="1" applyFont="1" applyBorder="1" applyAlignment="1">
      <alignment horizontal="right"/>
    </xf>
    <xf numFmtId="187" fontId="20" fillId="0" borderId="0" xfId="0" quotePrefix="1" applyNumberFormat="1" applyFont="1" applyAlignment="1">
      <alignment horizontal="centerContinuous"/>
    </xf>
    <xf numFmtId="187" fontId="20" fillId="0" borderId="35" xfId="0" quotePrefix="1" applyNumberFormat="1" applyFont="1" applyBorder="1" applyAlignment="1">
      <alignment horizontal="centerContinuous"/>
    </xf>
    <xf numFmtId="37" fontId="20" fillId="0" borderId="33" xfId="0" applyNumberFormat="1" applyFont="1" applyBorder="1" applyAlignment="1">
      <alignment horizontal="right"/>
    </xf>
    <xf numFmtId="166" fontId="20" fillId="0" borderId="50" xfId="0" applyNumberFormat="1" applyFont="1" applyBorder="1" applyAlignment="1">
      <alignment horizontal="right"/>
    </xf>
    <xf numFmtId="39" fontId="20" fillId="0" borderId="33" xfId="0" applyNumberFormat="1" applyFont="1" applyBorder="1" applyAlignment="1">
      <alignment horizontal="right"/>
    </xf>
    <xf numFmtId="171" fontId="20" fillId="0" borderId="36" xfId="0" quotePrefix="1" applyNumberFormat="1" applyFont="1" applyBorder="1" applyAlignment="1">
      <alignment horizontal="right"/>
    </xf>
    <xf numFmtId="0" fontId="20" fillId="0" borderId="49" xfId="0" applyFont="1" applyBorder="1" applyAlignment="1">
      <alignment horizontal="left"/>
    </xf>
    <xf numFmtId="164" fontId="3" fillId="0" borderId="0" xfId="4" applyNumberFormat="1" applyFont="1" applyFill="1" applyBorder="1"/>
    <xf numFmtId="195" fontId="62" fillId="0" borderId="0" xfId="0" applyNumberFormat="1" applyFont="1"/>
    <xf numFmtId="164" fontId="77" fillId="0" borderId="0" xfId="4" applyNumberFormat="1" applyFont="1" applyFill="1" applyBorder="1"/>
    <xf numFmtId="195" fontId="78" fillId="0" borderId="0" xfId="0" applyNumberFormat="1" applyFont="1"/>
    <xf numFmtId="0" fontId="8" fillId="2" borderId="28" xfId="13" applyFont="1" applyFill="1" applyBorder="1" applyProtection="1">
      <protection locked="0"/>
    </xf>
    <xf numFmtId="0" fontId="8" fillId="2" borderId="0" xfId="13" applyFont="1" applyFill="1" applyProtection="1">
      <protection locked="0"/>
    </xf>
    <xf numFmtId="0" fontId="9" fillId="2" borderId="0" xfId="13" applyFont="1" applyFill="1" applyProtection="1">
      <protection locked="0"/>
    </xf>
    <xf numFmtId="0" fontId="14" fillId="2" borderId="0" xfId="13" applyFont="1" applyFill="1" applyProtection="1">
      <protection locked="0"/>
    </xf>
    <xf numFmtId="0" fontId="10" fillId="2" borderId="0" xfId="13" applyFont="1" applyFill="1" applyProtection="1">
      <protection locked="0"/>
    </xf>
    <xf numFmtId="0" fontId="80" fillId="2" borderId="0" xfId="13" applyFont="1" applyFill="1" applyProtection="1">
      <protection locked="0"/>
    </xf>
    <xf numFmtId="0" fontId="11" fillId="2" borderId="0" xfId="13" applyFont="1" applyFill="1" applyProtection="1">
      <protection locked="0"/>
    </xf>
    <xf numFmtId="186" fontId="12" fillId="2" borderId="0" xfId="8" applyNumberFormat="1" applyFont="1" applyFill="1" applyAlignment="1" applyProtection="1">
      <alignment horizontal="left" wrapText="1"/>
      <protection locked="0"/>
    </xf>
    <xf numFmtId="0" fontId="75" fillId="6" borderId="0" xfId="13" applyFont="1" applyFill="1" applyProtection="1">
      <protection locked="0"/>
    </xf>
    <xf numFmtId="186" fontId="12" fillId="6" borderId="0" xfId="8" applyNumberFormat="1" applyFont="1" applyFill="1" applyAlignment="1" applyProtection="1">
      <alignment horizontal="left" wrapText="1"/>
      <protection locked="0"/>
    </xf>
    <xf numFmtId="0" fontId="8" fillId="2" borderId="0" xfId="13" applyFont="1" applyFill="1" applyAlignment="1" applyProtection="1">
      <alignment wrapText="1"/>
      <protection locked="0"/>
    </xf>
    <xf numFmtId="0" fontId="13" fillId="2" borderId="0" xfId="13" applyFont="1" applyFill="1" applyProtection="1">
      <protection locked="0"/>
    </xf>
    <xf numFmtId="0" fontId="8" fillId="2" borderId="12" xfId="13" applyFont="1" applyFill="1" applyBorder="1" applyProtection="1">
      <protection locked="0"/>
    </xf>
    <xf numFmtId="0" fontId="14" fillId="2" borderId="0" xfId="13" applyFont="1" applyFill="1"/>
    <xf numFmtId="0" fontId="15" fillId="2" borderId="0" xfId="13" applyFont="1" applyFill="1"/>
    <xf numFmtId="0" fontId="8" fillId="2" borderId="0" xfId="13" applyFont="1" applyFill="1"/>
    <xf numFmtId="0" fontId="81" fillId="0" borderId="0" xfId="0" applyFont="1"/>
    <xf numFmtId="195" fontId="78" fillId="0" borderId="0" xfId="0" applyNumberFormat="1" applyFont="1" applyAlignment="1">
      <alignment horizontal="centerContinuous"/>
    </xf>
    <xf numFmtId="0" fontId="82" fillId="0" borderId="0" xfId="0" applyFont="1"/>
    <xf numFmtId="171" fontId="82" fillId="0" borderId="33" xfId="0" quotePrefix="1" applyNumberFormat="1" applyFont="1" applyBorder="1" applyAlignment="1">
      <alignment horizontal="right"/>
    </xf>
    <xf numFmtId="0" fontId="82" fillId="0" borderId="34" xfId="0" quotePrefix="1" applyFont="1" applyBorder="1" applyAlignment="1">
      <alignment horizontal="left"/>
    </xf>
    <xf numFmtId="0" fontId="82" fillId="0" borderId="35" xfId="0" applyFont="1" applyBorder="1"/>
    <xf numFmtId="173" fontId="82" fillId="0" borderId="36" xfId="0" applyNumberFormat="1" applyFont="1" applyBorder="1" applyAlignment="1">
      <alignment horizontal="right"/>
    </xf>
    <xf numFmtId="0" fontId="83" fillId="0" borderId="33" xfId="0" applyFont="1" applyBorder="1" applyAlignment="1">
      <alignment horizontal="centerContinuous"/>
    </xf>
    <xf numFmtId="0" fontId="83" fillId="0" borderId="36" xfId="0" applyFont="1" applyBorder="1" applyAlignment="1">
      <alignment horizontal="centerContinuous"/>
    </xf>
    <xf numFmtId="188" fontId="83" fillId="0" borderId="35" xfId="0" applyNumberFormat="1" applyFont="1" applyBorder="1"/>
    <xf numFmtId="0" fontId="0" fillId="0" borderId="32" xfId="0" quotePrefix="1" applyBorder="1" applyAlignment="1">
      <alignment horizontal="center" vertical="center"/>
    </xf>
    <xf numFmtId="9" fontId="0" fillId="0" borderId="35" xfId="0" applyNumberFormat="1" applyBorder="1" applyAlignment="1">
      <alignment horizontal="centerContinuous"/>
    </xf>
    <xf numFmtId="10" fontId="35" fillId="0" borderId="13" xfId="0" applyNumberFormat="1" applyFont="1" applyBorder="1" applyAlignment="1">
      <alignment vertical="center"/>
    </xf>
    <xf numFmtId="171" fontId="35" fillId="0" borderId="13" xfId="0" applyNumberFormat="1" applyFont="1" applyBorder="1" applyAlignment="1">
      <alignment vertical="center"/>
    </xf>
    <xf numFmtId="0" fontId="84" fillId="0" borderId="0" xfId="0" applyFont="1" applyAlignment="1">
      <alignment horizontal="centerContinuous"/>
    </xf>
    <xf numFmtId="0" fontId="85" fillId="0" borderId="0" xfId="0" applyFont="1"/>
    <xf numFmtId="0" fontId="85" fillId="0" borderId="0" xfId="0" quotePrefix="1" applyFont="1"/>
    <xf numFmtId="0" fontId="31" fillId="7" borderId="0" xfId="0" applyFont="1" applyFill="1"/>
    <xf numFmtId="0" fontId="85" fillId="7" borderId="0" xfId="0" applyFont="1" applyFill="1"/>
    <xf numFmtId="0" fontId="31" fillId="0" borderId="0" xfId="0" applyFont="1"/>
    <xf numFmtId="0" fontId="86" fillId="0" borderId="0" xfId="0" applyFont="1"/>
    <xf numFmtId="197" fontId="85" fillId="0" borderId="0" xfId="0" applyNumberFormat="1" applyFont="1"/>
    <xf numFmtId="198" fontId="85" fillId="0" borderId="0" xfId="0" applyNumberFormat="1" applyFont="1"/>
    <xf numFmtId="199" fontId="85" fillId="0" borderId="0" xfId="0" applyNumberFormat="1" applyFont="1"/>
    <xf numFmtId="200" fontId="86" fillId="0" borderId="0" xfId="0" applyNumberFormat="1" applyFont="1"/>
    <xf numFmtId="0" fontId="87" fillId="0" borderId="0" xfId="9" applyFont="1" applyAlignment="1">
      <alignment horizontal="center"/>
    </xf>
    <xf numFmtId="0" fontId="31" fillId="0" borderId="0" xfId="0" quotePrefix="1" applyFont="1"/>
    <xf numFmtId="9" fontId="86" fillId="0" borderId="0" xfId="0" applyNumberFormat="1" applyFont="1"/>
    <xf numFmtId="169" fontId="19" fillId="0" borderId="8" xfId="4" applyNumberFormat="1" applyFont="1" applyFill="1" applyBorder="1" applyProtection="1"/>
    <xf numFmtId="172" fontId="3" fillId="0" borderId="8" xfId="4" applyNumberFormat="1" applyFont="1" applyBorder="1" applyProtection="1"/>
    <xf numFmtId="9" fontId="0" fillId="0" borderId="33" xfId="0" applyNumberFormat="1" applyBorder="1"/>
    <xf numFmtId="199" fontId="64" fillId="0" borderId="0" xfId="0" applyNumberFormat="1" applyFont="1"/>
    <xf numFmtId="201" fontId="0" fillId="0" borderId="0" xfId="0" applyNumberFormat="1"/>
    <xf numFmtId="199" fontId="0" fillId="0" borderId="0" xfId="0" applyNumberFormat="1"/>
    <xf numFmtId="172" fontId="19" fillId="0" borderId="14" xfId="4" applyNumberFormat="1" applyFont="1" applyBorder="1" applyProtection="1"/>
    <xf numFmtId="201" fontId="19" fillId="0" borderId="14" xfId="0" applyNumberFormat="1" applyFont="1" applyBorder="1"/>
    <xf numFmtId="0" fontId="19" fillId="0" borderId="14" xfId="0" quotePrefix="1" applyFont="1" applyBorder="1" applyAlignment="1">
      <alignment horizontal="left"/>
    </xf>
    <xf numFmtId="0" fontId="46" fillId="0" borderId="14" xfId="0" applyFont="1" applyBorder="1"/>
    <xf numFmtId="173" fontId="19" fillId="0" borderId="14" xfId="4" applyNumberFormat="1" applyFont="1" applyBorder="1" applyProtection="1"/>
    <xf numFmtId="173" fontId="19" fillId="0" borderId="51" xfId="4" applyNumberFormat="1" applyFont="1" applyBorder="1" applyProtection="1"/>
    <xf numFmtId="10" fontId="85" fillId="0" borderId="0" xfId="0" applyNumberFormat="1" applyFont="1"/>
    <xf numFmtId="171" fontId="31" fillId="0" borderId="0" xfId="0" applyNumberFormat="1" applyFont="1"/>
    <xf numFmtId="9" fontId="31" fillId="0" borderId="0" xfId="0" applyNumberFormat="1" applyFont="1"/>
    <xf numFmtId="2" fontId="85" fillId="0" borderId="0" xfId="0" applyNumberFormat="1" applyFont="1"/>
    <xf numFmtId="0" fontId="88" fillId="0" borderId="0" xfId="0" applyFont="1"/>
    <xf numFmtId="0" fontId="85" fillId="0" borderId="1" xfId="0" applyFont="1" applyBorder="1"/>
    <xf numFmtId="0" fontId="31" fillId="0" borderId="1" xfId="0" applyFont="1" applyBorder="1"/>
    <xf numFmtId="0" fontId="19" fillId="0" borderId="14" xfId="0" applyFont="1" applyBorder="1"/>
    <xf numFmtId="0" fontId="5" fillId="0" borderId="14" xfId="0" applyFont="1" applyBorder="1"/>
    <xf numFmtId="199" fontId="19" fillId="0" borderId="14" xfId="0" applyNumberFormat="1" applyFont="1" applyBorder="1"/>
    <xf numFmtId="172" fontId="19" fillId="0" borderId="8" xfId="4" applyNumberFormat="1" applyFont="1" applyBorder="1" applyAlignment="1" applyProtection="1">
      <alignment horizontal="right"/>
    </xf>
    <xf numFmtId="0" fontId="0" fillId="8" borderId="0" xfId="0" applyFill="1" applyAlignment="1">
      <alignment horizontal="centerContinuous"/>
    </xf>
    <xf numFmtId="0" fontId="19" fillId="8" borderId="0" xfId="0" applyFont="1" applyFill="1" applyAlignment="1">
      <alignment horizontal="centerContinuous"/>
    </xf>
    <xf numFmtId="0" fontId="0" fillId="8" borderId="0" xfId="0" applyFill="1"/>
    <xf numFmtId="0" fontId="36" fillId="8" borderId="0" xfId="7" quotePrefix="1" applyFont="1" applyFill="1" applyAlignment="1">
      <alignment horizontal="right" vertical="center"/>
    </xf>
    <xf numFmtId="0" fontId="19" fillId="8" borderId="0" xfId="0" applyFont="1" applyFill="1"/>
    <xf numFmtId="0" fontId="19" fillId="8" borderId="0" xfId="7" applyFont="1" applyFill="1"/>
    <xf numFmtId="0" fontId="3" fillId="8" borderId="0" xfId="7" applyFill="1"/>
    <xf numFmtId="172" fontId="19" fillId="0" borderId="8" xfId="4" applyNumberFormat="1" applyFont="1" applyFill="1" applyBorder="1" applyAlignment="1" applyProtection="1">
      <alignment horizontal="right"/>
    </xf>
    <xf numFmtId="172" fontId="19" fillId="0" borderId="8" xfId="4" applyNumberFormat="1" applyFont="1" applyFill="1" applyBorder="1" applyProtection="1"/>
    <xf numFmtId="0" fontId="31" fillId="8" borderId="0" xfId="0" applyFont="1" applyFill="1"/>
    <xf numFmtId="0" fontId="85" fillId="8" borderId="0" xfId="0" applyFont="1" applyFill="1"/>
    <xf numFmtId="0" fontId="83" fillId="0" borderId="0" xfId="0" applyFont="1"/>
    <xf numFmtId="0" fontId="0" fillId="7" borderId="0" xfId="0" applyFill="1"/>
    <xf numFmtId="173" fontId="0" fillId="0" borderId="52" xfId="0" applyNumberFormat="1" applyBorder="1"/>
    <xf numFmtId="173" fontId="0" fillId="0" borderId="0" xfId="0" quotePrefix="1" applyNumberFormat="1"/>
    <xf numFmtId="0" fontId="0" fillId="0" borderId="53" xfId="0" applyBorder="1"/>
    <xf numFmtId="0" fontId="35" fillId="0" borderId="53" xfId="0" applyFont="1" applyBorder="1" applyAlignment="1">
      <alignment vertical="center"/>
    </xf>
    <xf numFmtId="0" fontId="33" fillId="0" borderId="53" xfId="0" applyFont="1" applyBorder="1"/>
    <xf numFmtId="173" fontId="19" fillId="0" borderId="53" xfId="0" applyNumberFormat="1" applyFont="1" applyBorder="1" applyAlignment="1">
      <alignment vertical="center"/>
    </xf>
    <xf numFmtId="0" fontId="35" fillId="0" borderId="0" xfId="0" applyFont="1" applyAlignment="1">
      <alignment vertical="center"/>
    </xf>
    <xf numFmtId="173" fontId="19" fillId="0" borderId="0" xfId="0" applyNumberFormat="1" applyFont="1" applyAlignment="1">
      <alignment vertical="center"/>
    </xf>
    <xf numFmtId="0" fontId="56" fillId="0" borderId="0" xfId="0" applyFont="1" applyAlignment="1">
      <alignment horizontal="left" vertical="center"/>
    </xf>
    <xf numFmtId="0" fontId="56" fillId="0" borderId="0" xfId="0" quotePrefix="1" applyFont="1" applyAlignment="1">
      <alignment horizontal="left" vertical="center"/>
    </xf>
    <xf numFmtId="0" fontId="56" fillId="0" borderId="0" xfId="0" applyFont="1" applyAlignment="1">
      <alignment vertical="center"/>
    </xf>
    <xf numFmtId="184" fontId="63" fillId="0" borderId="0" xfId="0" applyNumberFormat="1" applyFont="1" applyAlignment="1">
      <alignment vertical="center"/>
    </xf>
    <xf numFmtId="201" fontId="89" fillId="0" borderId="0" xfId="0" applyNumberFormat="1" applyFont="1"/>
    <xf numFmtId="172" fontId="19" fillId="0" borderId="0" xfId="0" applyNumberFormat="1" applyFont="1"/>
    <xf numFmtId="172" fontId="19" fillId="0" borderId="53" xfId="0" applyNumberFormat="1" applyFont="1" applyBorder="1"/>
    <xf numFmtId="0" fontId="90" fillId="8" borderId="0" xfId="0" applyFont="1" applyFill="1"/>
    <xf numFmtId="0" fontId="85" fillId="0" borderId="8" xfId="0" applyFont="1" applyBorder="1"/>
    <xf numFmtId="9" fontId="85" fillId="0" borderId="0" xfId="0" applyNumberFormat="1" applyFont="1"/>
    <xf numFmtId="0" fontId="31" fillId="0" borderId="8" xfId="0" applyFont="1" applyBorder="1"/>
    <xf numFmtId="0" fontId="88" fillId="0" borderId="0" xfId="0" quotePrefix="1" applyFont="1"/>
    <xf numFmtId="0" fontId="91" fillId="0" borderId="0" xfId="0" applyFont="1"/>
    <xf numFmtId="171" fontId="63" fillId="0" borderId="0" xfId="4" applyNumberFormat="1" applyFont="1" applyFill="1" applyBorder="1" applyProtection="1"/>
    <xf numFmtId="37" fontId="60" fillId="0" borderId="8" xfId="0" applyNumberFormat="1" applyFont="1" applyBorder="1"/>
    <xf numFmtId="37" fontId="35" fillId="0" borderId="8" xfId="0" applyNumberFormat="1" applyFont="1" applyBorder="1"/>
    <xf numFmtId="173" fontId="35" fillId="0" borderId="8" xfId="0" applyNumberFormat="1" applyFont="1" applyBorder="1"/>
    <xf numFmtId="172" fontId="35" fillId="0" borderId="8" xfId="0" applyNumberFormat="1" applyFont="1" applyBorder="1"/>
    <xf numFmtId="175" fontId="19" fillId="0" borderId="8" xfId="0" applyNumberFormat="1" applyFont="1" applyBorder="1"/>
    <xf numFmtId="173" fontId="19" fillId="0" borderId="14" xfId="4" applyNumberFormat="1" applyFont="1" applyFill="1" applyBorder="1" applyProtection="1"/>
    <xf numFmtId="0" fontId="85" fillId="9" borderId="0" xfId="0" applyFont="1" applyFill="1"/>
    <xf numFmtId="0" fontId="85" fillId="0" borderId="54" xfId="0" quotePrefix="1" applyFont="1" applyBorder="1"/>
    <xf numFmtId="0" fontId="85" fillId="0" borderId="54" xfId="0" applyFont="1" applyBorder="1"/>
    <xf numFmtId="172" fontId="0" fillId="0" borderId="28" xfId="0" applyNumberFormat="1" applyBorder="1"/>
    <xf numFmtId="171" fontId="92" fillId="0" borderId="0" xfId="0" applyNumberFormat="1" applyFont="1"/>
    <xf numFmtId="172" fontId="0" fillId="0" borderId="14" xfId="0" applyNumberFormat="1" applyBorder="1"/>
    <xf numFmtId="173" fontId="0" fillId="0" borderId="14" xfId="0" applyNumberFormat="1" applyBorder="1"/>
    <xf numFmtId="171" fontId="63" fillId="0" borderId="0" xfId="0" applyNumberFormat="1" applyFont="1"/>
    <xf numFmtId="173" fontId="19" fillId="0" borderId="53" xfId="0" applyNumberFormat="1" applyFont="1" applyBorder="1"/>
    <xf numFmtId="9" fontId="0" fillId="0" borderId="0" xfId="0" applyNumberFormat="1"/>
    <xf numFmtId="164" fontId="28" fillId="0" borderId="0" xfId="0" applyNumberFormat="1" applyFont="1"/>
    <xf numFmtId="173" fontId="19" fillId="0" borderId="14" xfId="0" applyNumberFormat="1" applyFont="1" applyBorder="1"/>
    <xf numFmtId="173" fontId="0" fillId="0" borderId="53" xfId="0" applyNumberFormat="1" applyBorder="1"/>
    <xf numFmtId="173" fontId="0" fillId="0" borderId="28" xfId="0" applyNumberFormat="1" applyBorder="1"/>
    <xf numFmtId="199" fontId="63" fillId="0" borderId="0" xfId="0" applyNumberFormat="1" applyFont="1"/>
    <xf numFmtId="188" fontId="0" fillId="0" borderId="0" xfId="0" applyNumberFormat="1"/>
    <xf numFmtId="172" fontId="3" fillId="0" borderId="0" xfId="4" applyNumberFormat="1" applyFont="1" applyFill="1" applyBorder="1" applyProtection="1"/>
    <xf numFmtId="172" fontId="20" fillId="0" borderId="0" xfId="4" applyNumberFormat="1" applyFont="1" applyFill="1" applyBorder="1" applyProtection="1"/>
    <xf numFmtId="172" fontId="0" fillId="0" borderId="51" xfId="0" applyNumberFormat="1" applyBorder="1"/>
    <xf numFmtId="0" fontId="0" fillId="0" borderId="8" xfId="0" quotePrefix="1" applyBorder="1"/>
    <xf numFmtId="172" fontId="0" fillId="0" borderId="8" xfId="4" applyNumberFormat="1" applyFont="1" applyFill="1" applyBorder="1" applyProtection="1">
      <protection locked="0"/>
    </xf>
    <xf numFmtId="199" fontId="19" fillId="0" borderId="53" xfId="0" applyNumberFormat="1" applyFont="1" applyBorder="1"/>
  </cellXfs>
  <cellStyles count="14">
    <cellStyle name="Across" xfId="1" xr:uid="{00000000-0005-0000-0000-000000000000}"/>
    <cellStyle name="Bottom" xfId="2" xr:uid="{00000000-0005-0000-0000-000001000000}"/>
    <cellStyle name="Center" xfId="3" xr:uid="{00000000-0005-0000-0000-000002000000}"/>
    <cellStyle name="Comma" xfId="4" builtinId="3"/>
    <cellStyle name="Currency [2]" xfId="5" xr:uid="{00000000-0005-0000-0000-000004000000}"/>
    <cellStyle name="Double" xfId="6" xr:uid="{00000000-0005-0000-0000-000005000000}"/>
    <cellStyle name="Normal" xfId="0" builtinId="0"/>
    <cellStyle name="Normal 2" xfId="13" xr:uid="{00000000-0005-0000-0000-000007000000}"/>
    <cellStyle name="Normal_DrydenNewDCF3" xfId="7" xr:uid="{00000000-0005-0000-0000-000008000000}"/>
    <cellStyle name="Normal_Inverness Drive Model 4-26-02" xfId="8" xr:uid="{00000000-0005-0000-0000-000009000000}"/>
    <cellStyle name="Normal_TrainingDCF1" xfId="9" xr:uid="{00000000-0005-0000-0000-00000A000000}"/>
    <cellStyle name="Numbers" xfId="10" xr:uid="{00000000-0005-0000-0000-00000B000000}"/>
    <cellStyle name="Numbers - Bold - Italic" xfId="11" xr:uid="{00000000-0005-0000-0000-00000C000000}"/>
    <cellStyle name="Outline" xfId="12" xr:uid="{00000000-0005-0000-0000-00000D000000}"/>
  </cellStyles>
  <dxfs count="7">
    <dxf>
      <font>
        <b/>
        <i val="0"/>
        <condense val="0"/>
        <extend val="0"/>
      </font>
      <fill>
        <patternFill>
          <bgColor indexed="44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</dxfs>
  <tableStyles count="0" defaultTableStyle="TableStyleMedium9" defaultPivotStyle="PivotStyleLight16"/>
  <colors>
    <mruColors>
      <color rgb="FF009966"/>
      <color rgb="FF0000CC"/>
      <color rgb="FF5B77CC"/>
      <color rgb="FFFFFF99"/>
      <color rgb="FF002F6C"/>
      <color rgb="FF008ED6"/>
      <color rgb="FF6B72A9"/>
      <color rgb="FF6B729F"/>
      <color rgb="FF4586BB"/>
      <color rgb="FF827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Drop" dropStyle="combo" dx="31" fmlaLink="$D$7" fmlaRange="$C$15:$C$17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254184</xdr:colOff>
      <xdr:row>1</xdr:row>
      <xdr:rowOff>20862</xdr:rowOff>
    </xdr:from>
    <xdr:to>
      <xdr:col>4</xdr:col>
      <xdr:colOff>600732</xdr:colOff>
      <xdr:row>5</xdr:row>
      <xdr:rowOff>39361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51" t="17304" r="4337" b="15213"/>
        <a:stretch/>
      </xdr:blipFill>
      <xdr:spPr>
        <a:xfrm>
          <a:off x="254184" y="216805"/>
          <a:ext cx="4095769" cy="987327"/>
        </a:xfrm>
        <a:prstGeom prst="rect">
          <a:avLst/>
        </a:prstGeom>
      </xdr:spPr>
    </xdr:pic>
    <xdr:clientData/>
  </xdr:twoCellAnchor>
  <xdr:twoCellAnchor editAs="oneCell">
    <xdr:from>
      <xdr:col>6</xdr:col>
      <xdr:colOff>789216</xdr:colOff>
      <xdr:row>23</xdr:row>
      <xdr:rowOff>226788</xdr:rowOff>
    </xdr:from>
    <xdr:to>
      <xdr:col>9</xdr:col>
      <xdr:colOff>714705</xdr:colOff>
      <xdr:row>27</xdr:row>
      <xdr:rowOff>151617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4" t="22409" r="3011" b="23644"/>
        <a:stretch/>
      </xdr:blipFill>
      <xdr:spPr>
        <a:xfrm>
          <a:off x="6286502" y="5651502"/>
          <a:ext cx="2529170" cy="8138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1250950</xdr:colOff>
          <xdr:row>5</xdr:row>
          <xdr:rowOff>0</xdr:rowOff>
        </xdr:from>
        <xdr:to>
          <xdr:col>5</xdr:col>
          <xdr:colOff>6350</xdr:colOff>
          <xdr:row>7</xdr:row>
          <xdr:rowOff>69850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4A7DC8-2078-4876-A413-6D3961247867}" name="Table1" displayName="Table1" ref="H250:I254" totalsRowShown="0" headerRowDxfId="6" dataDxfId="5">
  <autoFilter ref="H250:I254" xr:uid="{184A7DC8-2078-4876-A413-6D3961247867}"/>
  <tableColumns count="2">
    <tableColumn id="1" xr3:uid="{75B19202-9CD3-4166-A3F7-0C6B9464DD3A}" name="units " dataDxfId="4"/>
    <tableColumn id="2" xr3:uid="{ABCA7FD4-0F58-446C-BE92-BF747B99B3AC}" name="costs" dataDxf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78E81-9F53-4A04-B60A-20A4073EB11C}">
  <sheetPr codeName="Sheet5"/>
  <dimension ref="A2:M542"/>
  <sheetViews>
    <sheetView showGridLines="0" topLeftCell="A438" zoomScale="99" workbookViewId="0">
      <selection activeCell="C543" sqref="C543"/>
    </sheetView>
  </sheetViews>
  <sheetFormatPr defaultRowHeight="14"/>
  <cols>
    <col min="1" max="1" width="8.7265625" style="517"/>
    <col min="2" max="2" width="8.90625" style="517" bestFit="1" customWidth="1"/>
    <col min="3" max="3" width="11.08984375" style="517" bestFit="1" customWidth="1"/>
    <col min="4" max="4" width="8.81640625" style="517" bestFit="1" customWidth="1"/>
    <col min="5" max="16384" width="8.7265625" style="517"/>
  </cols>
  <sheetData>
    <row r="2" spans="1:1" ht="14.5">
      <c r="A2" s="502" t="s">
        <v>166</v>
      </c>
    </row>
    <row r="3" spans="1:1">
      <c r="A3" s="518" t="s">
        <v>167</v>
      </c>
    </row>
    <row r="5" spans="1:1" ht="14.5">
      <c r="A5" s="502" t="s">
        <v>168</v>
      </c>
    </row>
    <row r="6" spans="1:1">
      <c r="A6" s="518" t="s">
        <v>169</v>
      </c>
    </row>
    <row r="8" spans="1:1" ht="14.5">
      <c r="A8" s="502" t="s">
        <v>170</v>
      </c>
    </row>
    <row r="9" spans="1:1">
      <c r="A9" s="518" t="s">
        <v>171</v>
      </c>
    </row>
    <row r="11" spans="1:1" ht="14.5">
      <c r="A11" s="502" t="s">
        <v>172</v>
      </c>
    </row>
    <row r="12" spans="1:1">
      <c r="A12" s="517" t="s">
        <v>173</v>
      </c>
    </row>
    <row r="13" spans="1:1">
      <c r="A13" s="517" t="s">
        <v>174</v>
      </c>
    </row>
    <row r="16" spans="1:1" ht="14.5">
      <c r="A16" s="502" t="s">
        <v>175</v>
      </c>
    </row>
    <row r="17" spans="1:2">
      <c r="B17" s="517" t="s">
        <v>176</v>
      </c>
    </row>
    <row r="18" spans="1:2">
      <c r="B18" s="517" t="s">
        <v>177</v>
      </c>
    </row>
    <row r="19" spans="1:2">
      <c r="B19" s="517" t="s">
        <v>178</v>
      </c>
    </row>
    <row r="20" spans="1:2">
      <c r="B20" s="517" t="s">
        <v>179</v>
      </c>
    </row>
    <row r="21" spans="1:2">
      <c r="B21" s="517" t="s">
        <v>180</v>
      </c>
    </row>
    <row r="22" spans="1:2">
      <c r="B22" s="517" t="s">
        <v>181</v>
      </c>
    </row>
    <row r="23" spans="1:2">
      <c r="B23" s="517" t="s">
        <v>182</v>
      </c>
    </row>
    <row r="24" spans="1:2">
      <c r="B24" s="517" t="s">
        <v>183</v>
      </c>
    </row>
    <row r="25" spans="1:2">
      <c r="B25" s="517" t="s">
        <v>184</v>
      </c>
    </row>
    <row r="28" spans="1:2">
      <c r="B28" s="517" t="s">
        <v>185</v>
      </c>
    </row>
    <row r="29" spans="1:2">
      <c r="B29" s="517" t="s">
        <v>186</v>
      </c>
    </row>
    <row r="32" spans="1:2">
      <c r="A32" s="519" t="s">
        <v>187</v>
      </c>
      <c r="B32" s="520"/>
    </row>
    <row r="33" spans="1:3">
      <c r="B33" s="517" t="s">
        <v>188</v>
      </c>
    </row>
    <row r="34" spans="1:3">
      <c r="B34" s="517" t="s">
        <v>189</v>
      </c>
    </row>
    <row r="35" spans="1:3">
      <c r="B35" s="517" t="s">
        <v>190</v>
      </c>
    </row>
    <row r="36" spans="1:3">
      <c r="B36" s="518" t="s">
        <v>191</v>
      </c>
    </row>
    <row r="37" spans="1:3">
      <c r="B37" s="517" t="s">
        <v>192</v>
      </c>
    </row>
    <row r="38" spans="1:3">
      <c r="B38" s="517" t="s">
        <v>193</v>
      </c>
    </row>
    <row r="39" spans="1:3">
      <c r="B39" s="517" t="s">
        <v>194</v>
      </c>
    </row>
    <row r="40" spans="1:3">
      <c r="B40" s="517" t="s">
        <v>195</v>
      </c>
    </row>
    <row r="41" spans="1:3">
      <c r="B41" s="517" t="s">
        <v>196</v>
      </c>
    </row>
    <row r="43" spans="1:3">
      <c r="B43" s="517" t="s">
        <v>197</v>
      </c>
    </row>
    <row r="44" spans="1:3">
      <c r="C44" s="517" t="s">
        <v>198</v>
      </c>
    </row>
    <row r="48" spans="1:3">
      <c r="A48" s="521" t="s">
        <v>199</v>
      </c>
    </row>
    <row r="49" spans="1:5">
      <c r="B49" s="517" t="s">
        <v>200</v>
      </c>
    </row>
    <row r="50" spans="1:5">
      <c r="B50" s="517" t="s">
        <v>201</v>
      </c>
    </row>
    <row r="51" spans="1:5">
      <c r="B51" s="517" t="s">
        <v>202</v>
      </c>
    </row>
    <row r="52" spans="1:5">
      <c r="B52" s="521" t="s">
        <v>203</v>
      </c>
      <c r="E52" s="517" t="s">
        <v>204</v>
      </c>
    </row>
    <row r="53" spans="1:5">
      <c r="B53" s="517" t="s">
        <v>205</v>
      </c>
    </row>
    <row r="56" spans="1:5">
      <c r="A56" s="521" t="s">
        <v>206</v>
      </c>
    </row>
    <row r="57" spans="1:5">
      <c r="A57" s="517" t="s">
        <v>207</v>
      </c>
    </row>
    <row r="58" spans="1:5">
      <c r="A58" s="517" t="s">
        <v>208</v>
      </c>
    </row>
    <row r="59" spans="1:5">
      <c r="A59" s="517" t="s">
        <v>209</v>
      </c>
    </row>
    <row r="60" spans="1:5">
      <c r="A60" s="521" t="s">
        <v>210</v>
      </c>
    </row>
    <row r="61" spans="1:5">
      <c r="A61" s="517" t="s">
        <v>211</v>
      </c>
    </row>
    <row r="64" spans="1:5">
      <c r="A64" s="521" t="s">
        <v>212</v>
      </c>
    </row>
    <row r="65" spans="1:3">
      <c r="A65" s="517" t="s">
        <v>213</v>
      </c>
    </row>
    <row r="66" spans="1:3">
      <c r="A66" s="517" t="s">
        <v>214</v>
      </c>
    </row>
    <row r="67" spans="1:3">
      <c r="A67" s="517" t="s">
        <v>215</v>
      </c>
    </row>
    <row r="68" spans="1:3">
      <c r="A68" s="517" t="s">
        <v>216</v>
      </c>
    </row>
    <row r="69" spans="1:3">
      <c r="A69" s="517" t="s">
        <v>217</v>
      </c>
    </row>
    <row r="70" spans="1:3">
      <c r="A70" s="517" t="s">
        <v>218</v>
      </c>
    </row>
    <row r="71" spans="1:3">
      <c r="A71" s="517" t="s">
        <v>219</v>
      </c>
    </row>
    <row r="72" spans="1:3">
      <c r="A72" s="517" t="s">
        <v>220</v>
      </c>
    </row>
    <row r="73" spans="1:3">
      <c r="B73" s="522" t="s">
        <v>221</v>
      </c>
      <c r="C73" s="522" t="s">
        <v>222</v>
      </c>
    </row>
    <row r="74" spans="1:3">
      <c r="B74" s="517" t="s">
        <v>222</v>
      </c>
      <c r="C74" s="517" t="s">
        <v>223</v>
      </c>
    </row>
    <row r="79" spans="1:3">
      <c r="A79" s="521" t="s">
        <v>224</v>
      </c>
    </row>
    <row r="80" spans="1:3">
      <c r="A80" s="517" t="s">
        <v>225</v>
      </c>
    </row>
    <row r="81" spans="1:7">
      <c r="F81" s="517" t="s">
        <v>227</v>
      </c>
    </row>
    <row r="82" spans="1:7">
      <c r="C82" s="523">
        <v>4.5</v>
      </c>
    </row>
    <row r="83" spans="1:7">
      <c r="C83" s="524">
        <v>25</v>
      </c>
    </row>
    <row r="84" spans="1:7">
      <c r="D84" s="525">
        <f>C83+C82</f>
        <v>29.5</v>
      </c>
      <c r="F84" s="517" t="s">
        <v>226</v>
      </c>
    </row>
    <row r="87" spans="1:7">
      <c r="A87" s="521" t="s">
        <v>228</v>
      </c>
    </row>
    <row r="88" spans="1:7">
      <c r="B88" s="521" t="s">
        <v>233</v>
      </c>
      <c r="E88" s="517" t="s">
        <v>229</v>
      </c>
    </row>
    <row r="89" spans="1:7">
      <c r="C89" s="526" t="s">
        <v>230</v>
      </c>
      <c r="G89" s="517" t="s">
        <v>231</v>
      </c>
    </row>
    <row r="90" spans="1:7">
      <c r="G90" s="517" t="s">
        <v>232</v>
      </c>
    </row>
    <row r="96" spans="1:7">
      <c r="A96" s="521" t="s">
        <v>254</v>
      </c>
    </row>
    <row r="97" spans="2:8">
      <c r="B97" s="517" t="s">
        <v>255</v>
      </c>
    </row>
    <row r="98" spans="2:8">
      <c r="B98" s="517" t="s">
        <v>256</v>
      </c>
    </row>
    <row r="99" spans="2:8">
      <c r="B99" s="517" t="s">
        <v>257</v>
      </c>
    </row>
    <row r="100" spans="2:8">
      <c r="B100" s="517" t="s">
        <v>258</v>
      </c>
    </row>
    <row r="102" spans="2:8">
      <c r="B102" s="517" t="s">
        <v>259</v>
      </c>
    </row>
    <row r="103" spans="2:8">
      <c r="B103" s="517" t="s">
        <v>260</v>
      </c>
      <c r="E103" s="517" t="s">
        <v>261</v>
      </c>
    </row>
    <row r="104" spans="2:8">
      <c r="B104" s="517" t="s">
        <v>262</v>
      </c>
      <c r="E104" s="517" t="s">
        <v>263</v>
      </c>
    </row>
    <row r="106" spans="2:8">
      <c r="B106" s="521" t="s">
        <v>264</v>
      </c>
      <c r="C106" s="517" t="s">
        <v>265</v>
      </c>
    </row>
    <row r="107" spans="2:8">
      <c r="B107" s="517" t="s">
        <v>266</v>
      </c>
    </row>
    <row r="110" spans="2:8">
      <c r="B110" s="517" t="s">
        <v>268</v>
      </c>
    </row>
    <row r="111" spans="2:8">
      <c r="B111" s="517" t="s">
        <v>269</v>
      </c>
    </row>
    <row r="112" spans="2:8">
      <c r="C112" s="518" t="s">
        <v>270</v>
      </c>
      <c r="H112" s="517" t="s">
        <v>272</v>
      </c>
    </row>
    <row r="114" spans="1:6">
      <c r="B114" s="517" t="s">
        <v>271</v>
      </c>
      <c r="E114" s="517" t="s">
        <v>273</v>
      </c>
      <c r="F114" s="517" t="s">
        <v>274</v>
      </c>
    </row>
    <row r="117" spans="1:6">
      <c r="B117" s="517" t="s">
        <v>275</v>
      </c>
    </row>
    <row r="120" spans="1:6">
      <c r="A120" s="527"/>
    </row>
    <row r="121" spans="1:6">
      <c r="B121" s="521" t="s">
        <v>276</v>
      </c>
    </row>
    <row r="122" spans="1:6">
      <c r="B122" s="517" t="s">
        <v>277</v>
      </c>
    </row>
    <row r="123" spans="1:6">
      <c r="B123" s="517" t="s">
        <v>278</v>
      </c>
    </row>
    <row r="125" spans="1:6">
      <c r="B125" s="517" t="s">
        <v>279</v>
      </c>
    </row>
    <row r="126" spans="1:6">
      <c r="B126" s="528" t="s">
        <v>280</v>
      </c>
    </row>
    <row r="130" spans="2:2">
      <c r="B130" s="517" t="s">
        <v>281</v>
      </c>
    </row>
    <row r="131" spans="2:2">
      <c r="B131" s="517" t="s">
        <v>282</v>
      </c>
    </row>
    <row r="132" spans="2:2">
      <c r="B132" s="517" t="s">
        <v>283</v>
      </c>
    </row>
    <row r="134" spans="2:2">
      <c r="B134" s="517" t="s">
        <v>284</v>
      </c>
    </row>
    <row r="135" spans="2:2">
      <c r="B135" s="517" t="s">
        <v>285</v>
      </c>
    </row>
    <row r="138" spans="2:2">
      <c r="B138" s="521" t="s">
        <v>286</v>
      </c>
    </row>
    <row r="139" spans="2:2">
      <c r="B139" s="517" t="s">
        <v>287</v>
      </c>
    </row>
    <row r="140" spans="2:2">
      <c r="B140" s="518" t="s">
        <v>288</v>
      </c>
    </row>
    <row r="141" spans="2:2">
      <c r="B141" s="518" t="s">
        <v>289</v>
      </c>
    </row>
    <row r="142" spans="2:2">
      <c r="B142" s="518"/>
    </row>
    <row r="143" spans="2:2">
      <c r="B143" s="517" t="s">
        <v>290</v>
      </c>
    </row>
    <row r="144" spans="2:2">
      <c r="B144" s="518" t="s">
        <v>291</v>
      </c>
    </row>
    <row r="146" spans="2:2">
      <c r="B146" s="517" t="s">
        <v>293</v>
      </c>
    </row>
    <row r="147" spans="2:2">
      <c r="B147" s="518" t="s">
        <v>294</v>
      </c>
    </row>
    <row r="150" spans="2:2">
      <c r="B150" s="521" t="s">
        <v>295</v>
      </c>
    </row>
    <row r="151" spans="2:2">
      <c r="B151" s="521" t="s">
        <v>296</v>
      </c>
    </row>
    <row r="152" spans="2:2">
      <c r="B152" s="518" t="s">
        <v>297</v>
      </c>
    </row>
    <row r="154" spans="2:2">
      <c r="B154" s="521" t="s">
        <v>298</v>
      </c>
    </row>
    <row r="155" spans="2:2">
      <c r="B155" s="518" t="s">
        <v>299</v>
      </c>
    </row>
    <row r="156" spans="2:2">
      <c r="B156" s="517" t="s">
        <v>300</v>
      </c>
    </row>
    <row r="159" spans="2:2">
      <c r="B159" s="521" t="s">
        <v>301</v>
      </c>
    </row>
    <row r="160" spans="2:2">
      <c r="B160" s="517" t="s">
        <v>302</v>
      </c>
    </row>
    <row r="162" spans="2:4">
      <c r="B162" s="521" t="s">
        <v>303</v>
      </c>
    </row>
    <row r="163" spans="2:4">
      <c r="B163" s="518" t="s">
        <v>305</v>
      </c>
    </row>
    <row r="164" spans="2:4">
      <c r="B164" s="518" t="s">
        <v>304</v>
      </c>
    </row>
    <row r="165" spans="2:4">
      <c r="B165" s="518" t="s">
        <v>306</v>
      </c>
    </row>
    <row r="166" spans="2:4">
      <c r="C166" s="517">
        <v>2022</v>
      </c>
      <c r="D166" s="517">
        <v>2023</v>
      </c>
    </row>
    <row r="167" spans="2:4">
      <c r="B167" s="517" t="s">
        <v>307</v>
      </c>
      <c r="D167" s="529">
        <v>0.05</v>
      </c>
    </row>
    <row r="168" spans="2:4">
      <c r="B168" s="517" t="s">
        <v>308</v>
      </c>
      <c r="C168" s="522">
        <v>100</v>
      </c>
      <c r="D168" s="517">
        <f>C168*(1+D167)</f>
        <v>105</v>
      </c>
    </row>
    <row r="171" spans="2:4">
      <c r="B171" s="518" t="s">
        <v>309</v>
      </c>
    </row>
    <row r="172" spans="2:4">
      <c r="B172" s="518" t="s">
        <v>310</v>
      </c>
    </row>
    <row r="173" spans="2:4">
      <c r="B173" s="517" t="s">
        <v>311</v>
      </c>
    </row>
    <row r="175" spans="2:4">
      <c r="B175" s="521" t="s">
        <v>313</v>
      </c>
    </row>
    <row r="176" spans="2:4">
      <c r="B176" s="517" t="s">
        <v>314</v>
      </c>
    </row>
    <row r="177" spans="2:7">
      <c r="B177" s="517" t="s">
        <v>315</v>
      </c>
    </row>
    <row r="178" spans="2:7">
      <c r="B178" s="517" t="s">
        <v>316</v>
      </c>
    </row>
    <row r="180" spans="2:7">
      <c r="B180" s="517" t="s">
        <v>318</v>
      </c>
      <c r="G180" s="458">
        <f>Assumptions!$N$18</f>
        <v>420</v>
      </c>
    </row>
    <row r="183" spans="2:7" s="563" customFormat="1">
      <c r="B183" s="562" t="s">
        <v>325</v>
      </c>
    </row>
    <row r="184" spans="2:7">
      <c r="B184" s="517" t="s">
        <v>326</v>
      </c>
    </row>
    <row r="185" spans="2:7">
      <c r="B185" s="517" t="s">
        <v>327</v>
      </c>
      <c r="E185" s="517" t="s">
        <v>328</v>
      </c>
    </row>
    <row r="186" spans="2:7">
      <c r="B186" s="517" t="s">
        <v>329</v>
      </c>
    </row>
    <row r="187" spans="2:7">
      <c r="B187" s="517" t="s">
        <v>330</v>
      </c>
    </row>
    <row r="189" spans="2:7">
      <c r="B189" s="521" t="s">
        <v>331</v>
      </c>
    </row>
    <row r="190" spans="2:7">
      <c r="B190" s="517" t="s">
        <v>332</v>
      </c>
    </row>
    <row r="191" spans="2:7">
      <c r="B191" s="517" t="s">
        <v>333</v>
      </c>
    </row>
    <row r="192" spans="2:7">
      <c r="B192" s="517" t="s">
        <v>334</v>
      </c>
    </row>
    <row r="194" spans="2:6">
      <c r="B194" s="521" t="s">
        <v>335</v>
      </c>
    </row>
    <row r="195" spans="2:6">
      <c r="B195" s="517" t="s">
        <v>336</v>
      </c>
    </row>
    <row r="196" spans="2:6">
      <c r="B196" s="521" t="s">
        <v>337</v>
      </c>
    </row>
    <row r="197" spans="2:6">
      <c r="B197" s="517" t="s">
        <v>338</v>
      </c>
    </row>
    <row r="198" spans="2:6">
      <c r="B198" s="517" t="s">
        <v>339</v>
      </c>
      <c r="D198" s="521" t="s">
        <v>340</v>
      </c>
    </row>
    <row r="201" spans="2:6">
      <c r="B201" s="521" t="s">
        <v>347</v>
      </c>
    </row>
    <row r="202" spans="2:6">
      <c r="B202" s="517" t="s">
        <v>348</v>
      </c>
    </row>
    <row r="203" spans="2:6">
      <c r="B203" s="517" t="s">
        <v>351</v>
      </c>
    </row>
    <row r="207" spans="2:6">
      <c r="E207" s="517">
        <v>2022</v>
      </c>
      <c r="F207" s="517">
        <v>2023</v>
      </c>
    </row>
    <row r="208" spans="2:6">
      <c r="C208" s="517" t="s">
        <v>349</v>
      </c>
      <c r="E208" s="517">
        <v>800</v>
      </c>
      <c r="F208" s="517">
        <v>800</v>
      </c>
    </row>
    <row r="209" spans="3:11">
      <c r="C209" s="517" t="s">
        <v>364</v>
      </c>
      <c r="F209" s="542">
        <v>2.5000000000000001E-2</v>
      </c>
    </row>
    <row r="210" spans="3:11">
      <c r="C210" s="517" t="s">
        <v>367</v>
      </c>
      <c r="F210" s="542">
        <v>0.03</v>
      </c>
      <c r="K210" s="517" t="s">
        <v>355</v>
      </c>
    </row>
    <row r="211" spans="3:11">
      <c r="C211" s="521" t="s">
        <v>350</v>
      </c>
      <c r="D211" s="521"/>
      <c r="E211" s="521">
        <f>E213*1000/E208</f>
        <v>125</v>
      </c>
      <c r="F211" s="517">
        <f>E211*(1+F210)</f>
        <v>128.75</v>
      </c>
    </row>
    <row r="213" spans="3:11">
      <c r="C213" s="517" t="s">
        <v>352</v>
      </c>
      <c r="E213" s="517">
        <v>100</v>
      </c>
      <c r="F213" s="517">
        <f>E213*1.03</f>
        <v>103</v>
      </c>
    </row>
    <row r="215" spans="3:11">
      <c r="C215" s="517" t="s">
        <v>353</v>
      </c>
      <c r="E215" s="517">
        <v>60</v>
      </c>
    </row>
    <row r="216" spans="3:11">
      <c r="K216" s="517" t="s">
        <v>357</v>
      </c>
    </row>
    <row r="217" spans="3:11">
      <c r="C217" s="517" t="s">
        <v>356</v>
      </c>
      <c r="E217" s="517">
        <v>0.75</v>
      </c>
      <c r="I217" s="521" t="s">
        <v>373</v>
      </c>
    </row>
    <row r="218" spans="3:11">
      <c r="C218" s="517" t="s">
        <v>358</v>
      </c>
      <c r="E218" s="517">
        <f>1-E217</f>
        <v>0.25</v>
      </c>
      <c r="I218" s="521" t="s">
        <v>365</v>
      </c>
    </row>
    <row r="219" spans="3:11">
      <c r="I219" s="521" t="s">
        <v>366</v>
      </c>
    </row>
    <row r="220" spans="3:11">
      <c r="C220" s="517" t="s">
        <v>359</v>
      </c>
      <c r="E220" s="517">
        <f>E217*E215</f>
        <v>45</v>
      </c>
      <c r="F220" s="525">
        <f>F224*F211/1000</f>
        <v>47.508749999999992</v>
      </c>
      <c r="I220" s="521" t="s">
        <v>368</v>
      </c>
    </row>
    <row r="221" spans="3:11">
      <c r="C221" s="517" t="s">
        <v>360</v>
      </c>
      <c r="E221" s="517">
        <f>E218*E215</f>
        <v>15</v>
      </c>
      <c r="F221" s="525">
        <f>E221*(1+F209)</f>
        <v>15.374999999999998</v>
      </c>
      <c r="I221" s="521" t="s">
        <v>372</v>
      </c>
    </row>
    <row r="222" spans="3:11">
      <c r="C222" s="517" t="s">
        <v>369</v>
      </c>
      <c r="F222" s="525">
        <f>SUM(F220:F221)</f>
        <v>62.883749999999992</v>
      </c>
    </row>
    <row r="224" spans="3:11">
      <c r="C224" s="517" t="s">
        <v>361</v>
      </c>
      <c r="E224" s="517">
        <f>E220*1000/E211</f>
        <v>360</v>
      </c>
      <c r="F224" s="517">
        <f>E224*(1+F209)</f>
        <v>368.99999999999994</v>
      </c>
    </row>
    <row r="225" spans="2:6">
      <c r="C225" s="517" t="s">
        <v>362</v>
      </c>
      <c r="E225" s="517">
        <f>E221*1000/E211</f>
        <v>120</v>
      </c>
      <c r="F225" s="525">
        <f>F221*1000/F211</f>
        <v>119.41747572815532</v>
      </c>
    </row>
    <row r="226" spans="2:6">
      <c r="C226" s="517" t="s">
        <v>370</v>
      </c>
      <c r="E226" s="517">
        <f>E224+E225</f>
        <v>480</v>
      </c>
      <c r="F226" s="525">
        <f>SUM(F224:F225)</f>
        <v>488.4174757281553</v>
      </c>
    </row>
    <row r="228" spans="2:6">
      <c r="C228" s="517" t="s">
        <v>371</v>
      </c>
      <c r="F228" s="525">
        <f>F213-F222</f>
        <v>40.116250000000008</v>
      </c>
    </row>
    <row r="229" spans="2:6">
      <c r="C229" s="517" t="s">
        <v>354</v>
      </c>
      <c r="E229" s="544">
        <v>0.4</v>
      </c>
      <c r="F229" s="543">
        <f>F228/F213</f>
        <v>0.3894781553398059</v>
      </c>
    </row>
    <row r="230" spans="2:6">
      <c r="C230" s="521" t="s">
        <v>363</v>
      </c>
    </row>
    <row r="233" spans="2:6">
      <c r="B233" s="521" t="s">
        <v>374</v>
      </c>
    </row>
    <row r="234" spans="2:6">
      <c r="B234" s="517" t="s">
        <v>375</v>
      </c>
    </row>
    <row r="235" spans="2:6">
      <c r="B235" s="517" t="s">
        <v>376</v>
      </c>
    </row>
    <row r="236" spans="2:6">
      <c r="C236" s="521" t="s">
        <v>377</v>
      </c>
    </row>
    <row r="237" spans="2:6">
      <c r="B237" s="517" t="s">
        <v>380</v>
      </c>
    </row>
    <row r="240" spans="2:6">
      <c r="B240" s="521" t="s">
        <v>381</v>
      </c>
    </row>
    <row r="241" spans="2:9">
      <c r="B241" s="517" t="s">
        <v>382</v>
      </c>
    </row>
    <row r="242" spans="2:9">
      <c r="B242" s="517" t="s">
        <v>383</v>
      </c>
      <c r="H242" s="517" t="s">
        <v>384</v>
      </c>
    </row>
    <row r="243" spans="2:9">
      <c r="B243" s="517" t="s">
        <v>385</v>
      </c>
    </row>
    <row r="245" spans="2:9">
      <c r="B245" s="547"/>
      <c r="C245" s="547"/>
      <c r="D245" s="548">
        <v>2022</v>
      </c>
      <c r="E245" s="548">
        <v>2023</v>
      </c>
    </row>
    <row r="246" spans="2:9">
      <c r="B246" s="517" t="s">
        <v>386</v>
      </c>
      <c r="D246" s="517">
        <v>120</v>
      </c>
      <c r="E246" s="517">
        <v>120</v>
      </c>
    </row>
    <row r="247" spans="2:9">
      <c r="B247" s="517" t="s">
        <v>387</v>
      </c>
      <c r="E247" s="545">
        <v>150</v>
      </c>
    </row>
    <row r="248" spans="2:9">
      <c r="E248" s="542"/>
    </row>
    <row r="249" spans="2:9">
      <c r="B249" s="521" t="s">
        <v>388</v>
      </c>
      <c r="C249" s="521"/>
      <c r="D249" s="521"/>
      <c r="E249" s="542">
        <v>2.8000000000000001E-2</v>
      </c>
    </row>
    <row r="250" spans="2:9">
      <c r="B250" s="517" t="s">
        <v>389</v>
      </c>
      <c r="D250" s="517">
        <v>395</v>
      </c>
      <c r="E250" s="525">
        <f>D250*(1+E249)</f>
        <v>406.06</v>
      </c>
      <c r="H250" s="517" t="s">
        <v>394</v>
      </c>
      <c r="I250" s="517" t="s">
        <v>395</v>
      </c>
    </row>
    <row r="251" spans="2:9">
      <c r="B251" s="517" t="s">
        <v>390</v>
      </c>
      <c r="D251" s="517">
        <v>47</v>
      </c>
      <c r="E251" s="525">
        <f>E250*E246/1000</f>
        <v>48.727199999999996</v>
      </c>
      <c r="H251" s="517">
        <v>0</v>
      </c>
      <c r="I251" s="517">
        <v>10</v>
      </c>
    </row>
    <row r="252" spans="2:9">
      <c r="E252" s="525"/>
      <c r="H252" s="517">
        <v>151</v>
      </c>
      <c r="I252" s="517">
        <v>15</v>
      </c>
    </row>
    <row r="253" spans="2:9">
      <c r="B253" s="517" t="s">
        <v>391</v>
      </c>
      <c r="C253" s="517" t="s">
        <v>392</v>
      </c>
      <c r="D253" s="517">
        <v>83</v>
      </c>
      <c r="E253" s="525"/>
      <c r="H253" s="517">
        <v>176</v>
      </c>
      <c r="I253" s="517">
        <v>20</v>
      </c>
    </row>
    <row r="254" spans="2:9" ht="14.5">
      <c r="B254" s="517" t="s">
        <v>391</v>
      </c>
      <c r="C254" s="517" t="s">
        <v>126</v>
      </c>
      <c r="D254" s="517">
        <v>10</v>
      </c>
      <c r="E254" s="525">
        <f>VLOOKUP(E246,H251:I254, 2,TRUE)</f>
        <v>10</v>
      </c>
      <c r="F254" s="546" t="s">
        <v>396</v>
      </c>
      <c r="H254" s="517">
        <v>201</v>
      </c>
      <c r="I254" s="517">
        <v>25</v>
      </c>
    </row>
    <row r="255" spans="2:9">
      <c r="E255" s="525"/>
    </row>
    <row r="256" spans="2:9">
      <c r="E256" s="525"/>
    </row>
    <row r="257" spans="2:12">
      <c r="B257" s="517" t="s">
        <v>337</v>
      </c>
      <c r="D257" s="517">
        <v>125</v>
      </c>
      <c r="E257" s="525">
        <f>E258*1000/E246</f>
        <v>128.5</v>
      </c>
    </row>
    <row r="258" spans="2:12">
      <c r="B258" s="517" t="s">
        <v>393</v>
      </c>
      <c r="D258" s="517">
        <v>15</v>
      </c>
      <c r="E258" s="525">
        <f>D258*(1+E249)</f>
        <v>15.42</v>
      </c>
    </row>
    <row r="259" spans="2:12">
      <c r="E259" s="525"/>
    </row>
    <row r="260" spans="2:12">
      <c r="E260" s="525"/>
    </row>
    <row r="261" spans="2:12">
      <c r="B261" s="517" t="s">
        <v>397</v>
      </c>
    </row>
    <row r="263" spans="2:12">
      <c r="B263" s="521" t="s">
        <v>398</v>
      </c>
      <c r="E263" s="525"/>
    </row>
    <row r="264" spans="2:12">
      <c r="B264" s="517" t="s">
        <v>399</v>
      </c>
      <c r="E264" s="525" t="s">
        <v>401</v>
      </c>
      <c r="L264" s="517" t="s">
        <v>402</v>
      </c>
    </row>
    <row r="265" spans="2:12">
      <c r="B265" s="517" t="s">
        <v>400</v>
      </c>
      <c r="E265" s="517" t="s">
        <v>403</v>
      </c>
    </row>
    <row r="266" spans="2:12">
      <c r="E266" s="517" t="s">
        <v>404</v>
      </c>
    </row>
    <row r="267" spans="2:12">
      <c r="E267" s="517" t="s">
        <v>405</v>
      </c>
    </row>
    <row r="269" spans="2:12">
      <c r="B269" s="521" t="s">
        <v>406</v>
      </c>
    </row>
    <row r="270" spans="2:12">
      <c r="B270" s="517" t="s">
        <v>408</v>
      </c>
    </row>
    <row r="271" spans="2:12">
      <c r="B271" s="517" t="s">
        <v>407</v>
      </c>
      <c r="E271" s="525"/>
    </row>
    <row r="272" spans="2:12">
      <c r="D272" s="544"/>
      <c r="E272" s="543"/>
    </row>
    <row r="273" spans="1:5">
      <c r="A273" s="517" t="s">
        <v>409</v>
      </c>
      <c r="B273" s="517" t="s">
        <v>410</v>
      </c>
    </row>
    <row r="276" spans="1:5">
      <c r="A276" s="562" t="s">
        <v>412</v>
      </c>
      <c r="B276" s="562" t="s">
        <v>413</v>
      </c>
      <c r="C276" s="562"/>
      <c r="D276" s="562"/>
      <c r="E276" s="563"/>
    </row>
    <row r="277" spans="1:5">
      <c r="C277" s="517" t="s">
        <v>414</v>
      </c>
    </row>
    <row r="278" spans="1:5">
      <c r="C278" s="517" t="s">
        <v>415</v>
      </c>
    </row>
    <row r="279" spans="1:5">
      <c r="C279" s="517" t="s">
        <v>416</v>
      </c>
    </row>
    <row r="280" spans="1:5">
      <c r="C280" s="517" t="s">
        <v>417</v>
      </c>
    </row>
    <row r="281" spans="1:5">
      <c r="C281" s="517" t="s">
        <v>418</v>
      </c>
    </row>
    <row r="282" spans="1:5">
      <c r="C282" s="517" t="s">
        <v>419</v>
      </c>
    </row>
    <row r="283" spans="1:5">
      <c r="C283" s="517" t="s">
        <v>420</v>
      </c>
    </row>
    <row r="284" spans="1:5">
      <c r="C284" s="517" t="s">
        <v>421</v>
      </c>
    </row>
    <row r="285" spans="1:5">
      <c r="C285" s="517" t="s">
        <v>422</v>
      </c>
    </row>
    <row r="286" spans="1:5">
      <c r="C286" s="517" t="s">
        <v>423</v>
      </c>
    </row>
    <row r="288" spans="1:5">
      <c r="B288" s="521" t="s">
        <v>424</v>
      </c>
    </row>
    <row r="289" spans="2:2">
      <c r="B289" s="517" t="s">
        <v>425</v>
      </c>
    </row>
    <row r="290" spans="2:2">
      <c r="B290" s="517" t="s">
        <v>426</v>
      </c>
    </row>
    <row r="291" spans="2:2">
      <c r="B291" s="517" t="s">
        <v>427</v>
      </c>
    </row>
    <row r="293" spans="2:2">
      <c r="B293" s="517" t="s">
        <v>428</v>
      </c>
    </row>
    <row r="294" spans="2:2">
      <c r="B294" s="517" t="s">
        <v>429</v>
      </c>
    </row>
    <row r="295" spans="2:2">
      <c r="B295" s="517" t="s">
        <v>430</v>
      </c>
    </row>
    <row r="296" spans="2:2">
      <c r="B296" s="517" t="s">
        <v>431</v>
      </c>
    </row>
    <row r="298" spans="2:2">
      <c r="B298" s="521" t="s">
        <v>432</v>
      </c>
    </row>
    <row r="299" spans="2:2">
      <c r="B299" s="517" t="s">
        <v>433</v>
      </c>
    </row>
    <row r="300" spans="2:2">
      <c r="B300" s="517" t="s">
        <v>434</v>
      </c>
    </row>
    <row r="301" spans="2:2">
      <c r="B301" s="517" t="s">
        <v>435</v>
      </c>
    </row>
    <row r="302" spans="2:2">
      <c r="B302" s="517" t="s">
        <v>436</v>
      </c>
    </row>
    <row r="303" spans="2:2">
      <c r="B303" s="517" t="s">
        <v>437</v>
      </c>
    </row>
    <row r="305" spans="2:12">
      <c r="B305" s="521" t="s">
        <v>438</v>
      </c>
    </row>
    <row r="306" spans="2:12">
      <c r="B306" s="517" t="s">
        <v>439</v>
      </c>
    </row>
    <row r="307" spans="2:12">
      <c r="B307" s="517" t="s">
        <v>440</v>
      </c>
    </row>
    <row r="309" spans="2:12">
      <c r="B309" s="521" t="s">
        <v>441</v>
      </c>
      <c r="D309" s="517" t="s">
        <v>442</v>
      </c>
      <c r="F309" s="517" t="s">
        <v>443</v>
      </c>
      <c r="I309" s="517" t="s">
        <v>444</v>
      </c>
      <c r="L309" s="517" t="s">
        <v>445</v>
      </c>
    </row>
    <row r="311" spans="2:12">
      <c r="B311" s="521" t="s">
        <v>446</v>
      </c>
      <c r="C311" s="517" t="s">
        <v>447</v>
      </c>
    </row>
    <row r="312" spans="2:12">
      <c r="C312" s="517" t="s">
        <v>448</v>
      </c>
    </row>
    <row r="314" spans="2:12">
      <c r="B314" s="521" t="s">
        <v>449</v>
      </c>
    </row>
    <row r="315" spans="2:12">
      <c r="B315" s="517" t="s">
        <v>455</v>
      </c>
    </row>
    <row r="316" spans="2:12">
      <c r="B316" s="567" t="s">
        <v>451</v>
      </c>
      <c r="D316" s="517" t="s">
        <v>454</v>
      </c>
    </row>
    <row r="317" spans="2:12">
      <c r="B317" s="567" t="s">
        <v>452</v>
      </c>
    </row>
    <row r="318" spans="2:12">
      <c r="B318" s="567" t="s">
        <v>453</v>
      </c>
      <c r="E318" s="517" t="s">
        <v>456</v>
      </c>
    </row>
    <row r="319" spans="2:12">
      <c r="B319" s="421"/>
      <c r="E319" s="566">
        <f>-HLOOKUP(Model!D207, Model!$K$119:$O$129,MATCH(Model!$D$206,Model!$C$119:$C$129,0),FALSE )</f>
        <v>16</v>
      </c>
      <c r="H319" s="521" t="s">
        <v>458</v>
      </c>
    </row>
    <row r="320" spans="2:12">
      <c r="E320" s="566">
        <f>-HLOOKUP(Model!D208, Model!$K$119:$O$129,MATCH(Model!$D$206,Model!$C$119:$C$129,0),FALSE )</f>
        <v>17</v>
      </c>
      <c r="H320">
        <f>-_xlfn.XLOOKUP(Model!D208,Model!$K$119:$O$119,Model!$K$129:$O$129,,0,)</f>
        <v>17</v>
      </c>
    </row>
    <row r="321" spans="1:7">
      <c r="E321" s="566">
        <f>-HLOOKUP(Model!D209, Model!$K$119:$O$129,MATCH(Model!$D$206,Model!$C$119:$C$129,0),FALSE )</f>
        <v>17.3</v>
      </c>
    </row>
    <row r="322" spans="1:7">
      <c r="E322" s="566">
        <f>-HLOOKUP(Model!D210, Model!$K$119:$O$129,MATCH(Model!$D$206,Model!$C$119:$C$129,0),FALSE )</f>
        <v>17.5</v>
      </c>
    </row>
    <row r="323" spans="1:7">
      <c r="E323" s="566">
        <f>-HLOOKUP(Model!D211, Model!$K$119:$O$129,MATCH(Model!$D$206,Model!$C$119:$C$129,0),FALSE )</f>
        <v>18</v>
      </c>
    </row>
    <row r="325" spans="1:7" ht="14.5">
      <c r="B325" s="546" t="s">
        <v>459</v>
      </c>
      <c r="E325" s="546" t="s">
        <v>460</v>
      </c>
    </row>
    <row r="327" spans="1:7">
      <c r="B327" s="521" t="s">
        <v>461</v>
      </c>
      <c r="G327" s="517" t="s">
        <v>462</v>
      </c>
    </row>
    <row r="328" spans="1:7">
      <c r="G328" s="518" t="s">
        <v>463</v>
      </c>
    </row>
    <row r="332" spans="1:7" s="581" customFormat="1"/>
    <row r="333" spans="1:7">
      <c r="E333" s="521" t="s">
        <v>121</v>
      </c>
    </row>
    <row r="334" spans="1:7">
      <c r="A334" s="517" t="s">
        <v>469</v>
      </c>
    </row>
    <row r="336" spans="1:7">
      <c r="A336" s="517" t="s">
        <v>470</v>
      </c>
    </row>
    <row r="337" spans="1:4">
      <c r="A337" s="517" t="s">
        <v>471</v>
      </c>
    </row>
    <row r="338" spans="1:4">
      <c r="A338" s="517" t="s">
        <v>472</v>
      </c>
    </row>
    <row r="339" spans="1:4">
      <c r="A339" s="517" t="s">
        <v>473</v>
      </c>
    </row>
    <row r="340" spans="1:4">
      <c r="A340" s="517" t="s">
        <v>474</v>
      </c>
    </row>
    <row r="342" spans="1:4">
      <c r="A342" s="517" t="s">
        <v>475</v>
      </c>
    </row>
    <row r="344" spans="1:4">
      <c r="A344" s="521" t="s">
        <v>476</v>
      </c>
    </row>
    <row r="345" spans="1:4">
      <c r="A345" s="521"/>
    </row>
    <row r="346" spans="1:4">
      <c r="A346" s="521"/>
    </row>
    <row r="347" spans="1:4">
      <c r="A347" s="521"/>
      <c r="C347" s="517" t="s">
        <v>480</v>
      </c>
      <c r="D347" s="517" t="s">
        <v>481</v>
      </c>
    </row>
    <row r="348" spans="1:4">
      <c r="A348" s="517" t="s">
        <v>477</v>
      </c>
      <c r="C348" s="583">
        <v>0.35</v>
      </c>
      <c r="D348" s="583">
        <f>C348</f>
        <v>0.35</v>
      </c>
    </row>
    <row r="350" spans="1:4">
      <c r="A350" s="517" t="s">
        <v>67</v>
      </c>
      <c r="C350" s="517">
        <v>50</v>
      </c>
      <c r="D350" s="517">
        <v>60</v>
      </c>
    </row>
    <row r="352" spans="1:4">
      <c r="A352" s="517" t="s">
        <v>478</v>
      </c>
      <c r="C352" s="517">
        <f>C350*C348</f>
        <v>17.5</v>
      </c>
      <c r="D352" s="517">
        <f>D350*D348</f>
        <v>21</v>
      </c>
    </row>
    <row r="353" spans="1:6">
      <c r="A353" s="584" t="s">
        <v>479</v>
      </c>
      <c r="B353" s="584"/>
      <c r="C353" s="584">
        <f>C350-C352</f>
        <v>32.5</v>
      </c>
      <c r="D353" s="584">
        <f>D350-D352</f>
        <v>39</v>
      </c>
      <c r="E353" s="521"/>
      <c r="F353" s="517" t="s">
        <v>482</v>
      </c>
    </row>
    <row r="355" spans="1:6">
      <c r="A355" s="517" t="s">
        <v>483</v>
      </c>
    </row>
    <row r="356" spans="1:6">
      <c r="A356" s="518" t="s">
        <v>484</v>
      </c>
    </row>
    <row r="357" spans="1:6">
      <c r="B357" s="517" t="s">
        <v>485</v>
      </c>
      <c r="D357" s="517">
        <v>5</v>
      </c>
      <c r="F357" s="517" t="s">
        <v>488</v>
      </c>
    </row>
    <row r="358" spans="1:6">
      <c r="B358" s="517" t="s">
        <v>486</v>
      </c>
      <c r="D358" s="517">
        <v>12</v>
      </c>
      <c r="F358" s="517" t="s">
        <v>489</v>
      </c>
    </row>
    <row r="359" spans="1:6">
      <c r="B359" s="521" t="s">
        <v>487</v>
      </c>
      <c r="D359" s="582">
        <f>SUM(D357:D358)</f>
        <v>17</v>
      </c>
    </row>
    <row r="361" spans="1:6">
      <c r="A361" s="521" t="s">
        <v>502</v>
      </c>
    </row>
    <row r="362" spans="1:6">
      <c r="B362" s="517" t="s">
        <v>490</v>
      </c>
    </row>
    <row r="363" spans="1:6">
      <c r="B363" s="517" t="s">
        <v>491</v>
      </c>
    </row>
    <row r="365" spans="1:6">
      <c r="B365" s="517" t="s">
        <v>492</v>
      </c>
    </row>
    <row r="366" spans="1:6">
      <c r="B366" s="517" t="s">
        <v>493</v>
      </c>
    </row>
    <row r="367" spans="1:6">
      <c r="C367" s="518" t="s">
        <v>495</v>
      </c>
    </row>
    <row r="368" spans="1:6">
      <c r="C368" s="518" t="s">
        <v>494</v>
      </c>
    </row>
    <row r="370" spans="2:10">
      <c r="C370" s="517" t="s">
        <v>496</v>
      </c>
      <c r="E370" s="517" t="s">
        <v>497</v>
      </c>
      <c r="J370" s="517" t="s">
        <v>498</v>
      </c>
    </row>
    <row r="372" spans="2:10">
      <c r="C372" s="517" t="s">
        <v>499</v>
      </c>
    </row>
    <row r="373" spans="2:10">
      <c r="D373" s="518" t="s">
        <v>500</v>
      </c>
    </row>
    <row r="374" spans="2:10">
      <c r="D374" s="518" t="s">
        <v>501</v>
      </c>
    </row>
    <row r="375" spans="2:10" ht="14.5">
      <c r="B375" s="585" t="s">
        <v>503</v>
      </c>
    </row>
    <row r="378" spans="2:10">
      <c r="F378" s="517" t="s">
        <v>67</v>
      </c>
      <c r="G378" s="517" t="s">
        <v>505</v>
      </c>
      <c r="H378" s="517" t="s">
        <v>511</v>
      </c>
    </row>
    <row r="379" spans="2:10">
      <c r="C379" s="517" t="s">
        <v>504</v>
      </c>
      <c r="F379" s="517">
        <v>100</v>
      </c>
      <c r="G379" s="517">
        <v>0.35</v>
      </c>
      <c r="H379" s="517">
        <f>F379*G379</f>
        <v>35</v>
      </c>
    </row>
    <row r="380" spans="2:10">
      <c r="C380" s="517" t="s">
        <v>512</v>
      </c>
      <c r="F380" s="517">
        <v>30</v>
      </c>
      <c r="H380" s="517">
        <f>F380*G379</f>
        <v>10.5</v>
      </c>
    </row>
    <row r="382" spans="2:10">
      <c r="C382" s="517" t="s">
        <v>506</v>
      </c>
      <c r="F382" s="517" t="s">
        <v>507</v>
      </c>
    </row>
    <row r="383" spans="2:10">
      <c r="C383" s="517" t="s">
        <v>508</v>
      </c>
      <c r="F383" s="517">
        <f>H380</f>
        <v>10.5</v>
      </c>
    </row>
    <row r="384" spans="2:10">
      <c r="C384" s="517" t="s">
        <v>509</v>
      </c>
      <c r="F384" s="517">
        <f>H379-H380</f>
        <v>24.5</v>
      </c>
    </row>
    <row r="385" spans="3:8">
      <c r="C385" s="517" t="s">
        <v>510</v>
      </c>
      <c r="F385" s="517">
        <f>H379</f>
        <v>35</v>
      </c>
    </row>
    <row r="387" spans="3:8">
      <c r="C387" s="517" t="s">
        <v>479</v>
      </c>
      <c r="F387" s="517">
        <f>F379-F385</f>
        <v>65</v>
      </c>
    </row>
    <row r="389" spans="3:8">
      <c r="C389" s="517" t="s">
        <v>513</v>
      </c>
    </row>
    <row r="390" spans="3:8">
      <c r="C390" s="517" t="s">
        <v>514</v>
      </c>
      <c r="F390" s="517">
        <f>F387</f>
        <v>65</v>
      </c>
    </row>
    <row r="391" spans="3:8">
      <c r="C391" s="517" t="s">
        <v>515</v>
      </c>
      <c r="F391" s="517">
        <f>F384</f>
        <v>24.5</v>
      </c>
      <c r="H391" s="517" t="s">
        <v>516</v>
      </c>
    </row>
    <row r="393" spans="3:8">
      <c r="C393" s="517" t="s">
        <v>517</v>
      </c>
      <c r="E393" s="586" t="s">
        <v>480</v>
      </c>
    </row>
    <row r="394" spans="3:8">
      <c r="C394" s="517" t="s">
        <v>518</v>
      </c>
      <c r="E394" s="517">
        <v>10</v>
      </c>
      <c r="F394" s="517">
        <f>E394+F391</f>
        <v>34.5</v>
      </c>
      <c r="H394" s="517" t="s">
        <v>519</v>
      </c>
    </row>
    <row r="397" spans="3:8" ht="14.5">
      <c r="C397" s="546" t="s">
        <v>521</v>
      </c>
    </row>
    <row r="398" spans="3:8">
      <c r="C398" s="517" t="s">
        <v>522</v>
      </c>
    </row>
    <row r="399" spans="3:8">
      <c r="C399" s="517" t="s">
        <v>523</v>
      </c>
    </row>
    <row r="402" spans="1:2" s="563" customFormat="1"/>
    <row r="404" spans="1:2">
      <c r="A404" s="521" t="s">
        <v>524</v>
      </c>
    </row>
    <row r="405" spans="1:2">
      <c r="B405" s="517" t="s">
        <v>525</v>
      </c>
    </row>
    <row r="407" spans="1:2">
      <c r="B407" s="517" t="s">
        <v>526</v>
      </c>
    </row>
    <row r="408" spans="1:2">
      <c r="B408" s="517" t="s">
        <v>527</v>
      </c>
    </row>
    <row r="409" spans="1:2">
      <c r="B409" s="517" t="s">
        <v>528</v>
      </c>
    </row>
    <row r="410" spans="1:2">
      <c r="B410" s="517" t="s">
        <v>529</v>
      </c>
    </row>
    <row r="411" spans="1:2">
      <c r="B411" s="517" t="s">
        <v>530</v>
      </c>
    </row>
    <row r="412" spans="1:2">
      <c r="B412" s="517" t="s">
        <v>531</v>
      </c>
    </row>
    <row r="414" spans="1:2">
      <c r="B414" s="521" t="s">
        <v>532</v>
      </c>
    </row>
    <row r="415" spans="1:2">
      <c r="B415" s="518" t="s">
        <v>533</v>
      </c>
    </row>
    <row r="416" spans="1:2">
      <c r="B416" s="518" t="s">
        <v>534</v>
      </c>
    </row>
    <row r="417" spans="2:3">
      <c r="B417" s="518" t="s">
        <v>535</v>
      </c>
    </row>
    <row r="418" spans="2:3">
      <c r="B418" s="518" t="s">
        <v>536</v>
      </c>
    </row>
    <row r="419" spans="2:3">
      <c r="B419" s="518" t="s">
        <v>537</v>
      </c>
    </row>
    <row r="421" spans="2:3">
      <c r="B421" s="521" t="s">
        <v>538</v>
      </c>
    </row>
    <row r="422" spans="2:3">
      <c r="B422" s="518" t="s">
        <v>539</v>
      </c>
    </row>
    <row r="423" spans="2:3">
      <c r="B423" s="518" t="s">
        <v>540</v>
      </c>
    </row>
    <row r="424" spans="2:3">
      <c r="B424" s="518" t="s">
        <v>541</v>
      </c>
    </row>
    <row r="425" spans="2:3">
      <c r="B425" s="518" t="s">
        <v>542</v>
      </c>
    </row>
    <row r="426" spans="2:3">
      <c r="B426" s="518" t="s">
        <v>543</v>
      </c>
    </row>
    <row r="427" spans="2:3">
      <c r="C427" s="517" t="s">
        <v>544</v>
      </c>
    </row>
    <row r="428" spans="2:3">
      <c r="C428" s="517" t="s">
        <v>545</v>
      </c>
    </row>
    <row r="430" spans="2:3">
      <c r="B430" s="521" t="s">
        <v>546</v>
      </c>
    </row>
    <row r="431" spans="2:3">
      <c r="B431" s="517" t="s">
        <v>547</v>
      </c>
    </row>
    <row r="432" spans="2:3">
      <c r="B432" s="517" t="s">
        <v>548</v>
      </c>
    </row>
    <row r="433" spans="2:7">
      <c r="B433" s="518" t="s">
        <v>549</v>
      </c>
    </row>
    <row r="434" spans="2:7">
      <c r="B434" s="518" t="s">
        <v>550</v>
      </c>
    </row>
    <row r="436" spans="2:7">
      <c r="B436" s="517" t="s">
        <v>551</v>
      </c>
    </row>
    <row r="437" spans="2:7">
      <c r="B437" s="518" t="s">
        <v>552</v>
      </c>
    </row>
    <row r="438" spans="2:7">
      <c r="B438" s="518" t="s">
        <v>553</v>
      </c>
    </row>
    <row r="440" spans="2:7">
      <c r="B440" s="517" t="s">
        <v>555</v>
      </c>
    </row>
    <row r="441" spans="2:7">
      <c r="B441" s="521" t="s">
        <v>554</v>
      </c>
      <c r="G441" s="517" t="s">
        <v>556</v>
      </c>
    </row>
    <row r="444" spans="2:7">
      <c r="B444" s="521" t="s">
        <v>557</v>
      </c>
    </row>
    <row r="446" spans="2:7">
      <c r="B446"/>
    </row>
    <row r="447" spans="2:7">
      <c r="B447" t="s">
        <v>565</v>
      </c>
    </row>
    <row r="448" spans="2:7">
      <c r="B448" t="s">
        <v>566</v>
      </c>
    </row>
    <row r="449" spans="1:2">
      <c r="B449"/>
    </row>
    <row r="450" spans="1:2">
      <c r="B450" t="s">
        <v>567</v>
      </c>
    </row>
    <row r="451" spans="1:2">
      <c r="B451" t="s">
        <v>568</v>
      </c>
    </row>
    <row r="452" spans="1:2">
      <c r="B452"/>
    </row>
    <row r="453" spans="1:2">
      <c r="B453" t="s">
        <v>569</v>
      </c>
    </row>
    <row r="454" spans="1:2">
      <c r="B454"/>
    </row>
    <row r="455" spans="1:2">
      <c r="B455" t="s">
        <v>571</v>
      </c>
    </row>
    <row r="456" spans="1:2">
      <c r="B456"/>
    </row>
    <row r="459" spans="1:2" s="594" customFormat="1">
      <c r="A459" s="594" t="s">
        <v>121</v>
      </c>
      <c r="B459" s="594" t="s">
        <v>572</v>
      </c>
    </row>
    <row r="461" spans="1:2">
      <c r="B461" s="517" t="s">
        <v>577</v>
      </c>
    </row>
    <row r="463" spans="1:2">
      <c r="B463" s="517" t="s">
        <v>573</v>
      </c>
    </row>
    <row r="464" spans="1:2">
      <c r="B464" s="517" t="s">
        <v>574</v>
      </c>
    </row>
    <row r="465" spans="2:8">
      <c r="B465" s="517" t="s">
        <v>575</v>
      </c>
    </row>
    <row r="467" spans="2:8">
      <c r="B467" s="517" t="s">
        <v>576</v>
      </c>
    </row>
    <row r="468" spans="2:8">
      <c r="B468" s="517" t="s">
        <v>578</v>
      </c>
    </row>
    <row r="469" spans="2:8">
      <c r="C469" s="517" t="s">
        <v>579</v>
      </c>
    </row>
    <row r="470" spans="2:8">
      <c r="C470" s="517" t="s">
        <v>580</v>
      </c>
    </row>
    <row r="471" spans="2:8">
      <c r="C471" s="517" t="s">
        <v>581</v>
      </c>
    </row>
    <row r="472" spans="2:8">
      <c r="C472" s="517" t="s">
        <v>582</v>
      </c>
    </row>
    <row r="473" spans="2:8">
      <c r="C473" s="517" t="s">
        <v>583</v>
      </c>
    </row>
    <row r="474" spans="2:8">
      <c r="C474" s="517" t="s">
        <v>584</v>
      </c>
    </row>
    <row r="476" spans="2:8">
      <c r="B476" s="521" t="s">
        <v>593</v>
      </c>
    </row>
    <row r="477" spans="2:8">
      <c r="B477" s="517" t="s">
        <v>594</v>
      </c>
    </row>
    <row r="479" spans="2:8">
      <c r="D479" s="547" cm="1">
        <f t="array" ref="D479:H479">_xlfn.SEQUENCE(1,5,2022,1)</f>
        <v>2022</v>
      </c>
      <c r="E479" s="547">
        <v>2023</v>
      </c>
      <c r="F479" s="547">
        <v>2024</v>
      </c>
      <c r="G479" s="547">
        <v>2025</v>
      </c>
      <c r="H479" s="547">
        <v>2026</v>
      </c>
    </row>
    <row r="480" spans="2:8">
      <c r="B480" s="517" t="s">
        <v>585</v>
      </c>
    </row>
    <row r="481" spans="2:9">
      <c r="B481" s="517" t="s">
        <v>586</v>
      </c>
      <c r="E481" s="518" t="s">
        <v>595</v>
      </c>
    </row>
    <row r="482" spans="2:9">
      <c r="B482" s="517" t="s">
        <v>587</v>
      </c>
      <c r="E482" s="518" t="s">
        <v>596</v>
      </c>
      <c r="I482" s="517" t="s">
        <v>589</v>
      </c>
    </row>
    <row r="483" spans="2:9">
      <c r="B483" s="517" t="s">
        <v>588</v>
      </c>
      <c r="D483" s="517" t="s">
        <v>592</v>
      </c>
      <c r="E483" s="582" t="s">
        <v>597</v>
      </c>
      <c r="F483" s="582"/>
      <c r="G483" s="582"/>
      <c r="H483" s="582"/>
    </row>
    <row r="485" spans="2:9">
      <c r="B485" s="517" t="s">
        <v>590</v>
      </c>
      <c r="E485" s="518" t="s">
        <v>598</v>
      </c>
    </row>
    <row r="486" spans="2:9" ht="14.5" thickBot="1">
      <c r="B486" s="521" t="s">
        <v>591</v>
      </c>
      <c r="E486" s="595" t="s">
        <v>599</v>
      </c>
      <c r="F486" s="596"/>
      <c r="G486" s="596"/>
      <c r="H486" s="596"/>
    </row>
    <row r="487" spans="2:9" ht="14.5" thickTop="1"/>
    <row r="488" spans="2:9">
      <c r="B488" s="517" t="s">
        <v>600</v>
      </c>
    </row>
    <row r="489" spans="2:9">
      <c r="B489" s="517" t="s">
        <v>601</v>
      </c>
      <c r="E489" s="517" t="s">
        <v>602</v>
      </c>
    </row>
    <row r="490" spans="2:9">
      <c r="C490" s="518"/>
    </row>
    <row r="491" spans="2:9">
      <c r="B491" s="517" t="s">
        <v>603</v>
      </c>
    </row>
    <row r="492" spans="2:9">
      <c r="C492" s="518" t="s">
        <v>604</v>
      </c>
    </row>
    <row r="493" spans="2:9">
      <c r="C493" s="518" t="s">
        <v>605</v>
      </c>
    </row>
    <row r="495" spans="2:9">
      <c r="B495" s="521" t="s">
        <v>606</v>
      </c>
    </row>
    <row r="497" spans="2:13">
      <c r="B497" s="521" t="s">
        <v>615</v>
      </c>
    </row>
    <row r="498" spans="2:13">
      <c r="B498" s="517" t="s">
        <v>616</v>
      </c>
    </row>
    <row r="499" spans="2:13">
      <c r="B499" s="517" t="s">
        <v>617</v>
      </c>
    </row>
    <row r="500" spans="2:13">
      <c r="B500" s="517" t="s">
        <v>618</v>
      </c>
    </row>
    <row r="502" spans="2:13">
      <c r="B502" s="521" t="s">
        <v>630</v>
      </c>
    </row>
    <row r="503" spans="2:13">
      <c r="B503" t="s">
        <v>628</v>
      </c>
      <c r="C503"/>
      <c r="D503" s="96"/>
      <c r="E503"/>
      <c r="F503"/>
      <c r="G503"/>
      <c r="H503"/>
      <c r="I503" s="601">
        <f>'Notes '!H507</f>
        <v>0.1</v>
      </c>
      <c r="J503" s="601">
        <f>'Notes '!I507</f>
        <v>0.15</v>
      </c>
      <c r="K503" s="601">
        <f>'Notes '!J507</f>
        <v>0.2</v>
      </c>
      <c r="L503" s="601">
        <f>'Notes '!K507</f>
        <v>0.25</v>
      </c>
      <c r="M503" s="601">
        <f>'Notes '!L507</f>
        <v>0.30000000000000004</v>
      </c>
    </row>
    <row r="504" spans="2:13">
      <c r="B504" t="s">
        <v>624</v>
      </c>
      <c r="C504"/>
      <c r="D504"/>
      <c r="E504"/>
      <c r="F504"/>
      <c r="G504" s="96"/>
      <c r="H504"/>
      <c r="I504" s="181">
        <f>Model!K313</f>
        <v>200</v>
      </c>
      <c r="J504" s="534">
        <f>I504-I505</f>
        <v>180</v>
      </c>
      <c r="K504" s="534">
        <f>J504-J505</f>
        <v>150</v>
      </c>
      <c r="L504" s="534">
        <f>K504-K505</f>
        <v>110</v>
      </c>
      <c r="M504" s="534">
        <f>L504-L505</f>
        <v>60</v>
      </c>
    </row>
    <row r="505" spans="2:13">
      <c r="B505" t="s">
        <v>629</v>
      </c>
      <c r="C505"/>
      <c r="D505" s="96"/>
      <c r="E505"/>
      <c r="F505"/>
      <c r="G505"/>
      <c r="H505"/>
      <c r="I505" s="578">
        <f>I503*$I$504</f>
        <v>20</v>
      </c>
      <c r="J505" s="578">
        <f>J503*$I$504</f>
        <v>30</v>
      </c>
      <c r="K505" s="578">
        <f>K503*$I$504</f>
        <v>40</v>
      </c>
      <c r="L505" s="578">
        <f>L503*$I$504</f>
        <v>50</v>
      </c>
      <c r="M505" s="578">
        <f>M503*$I$504</f>
        <v>60.000000000000007</v>
      </c>
    </row>
    <row r="507" spans="2:13">
      <c r="B507" t="s">
        <v>626</v>
      </c>
      <c r="C507"/>
      <c r="D507"/>
      <c r="E507" t="s">
        <v>627</v>
      </c>
      <c r="F507"/>
      <c r="G507"/>
      <c r="H507" s="603">
        <v>0.1</v>
      </c>
      <c r="I507" s="603">
        <v>0.15</v>
      </c>
      <c r="J507" s="603">
        <v>0.2</v>
      </c>
      <c r="K507" s="603">
        <v>0.25</v>
      </c>
      <c r="L507" s="532">
        <f>1-SUM(H507:K507)</f>
        <v>0.30000000000000004</v>
      </c>
    </row>
    <row r="509" spans="2:13">
      <c r="B509" s="521" t="s">
        <v>631</v>
      </c>
    </row>
    <row r="510" spans="2:13">
      <c r="B510" s="517" t="s">
        <v>632</v>
      </c>
    </row>
    <row r="511" spans="2:13">
      <c r="B511" s="517" t="s">
        <v>633</v>
      </c>
    </row>
    <row r="512" spans="2:13">
      <c r="B512" s="517" t="s">
        <v>634</v>
      </c>
    </row>
    <row r="513" spans="2:3">
      <c r="B513" s="517" t="s">
        <v>635</v>
      </c>
    </row>
    <row r="514" spans="2:3">
      <c r="B514" s="517" t="s">
        <v>636</v>
      </c>
    </row>
    <row r="515" spans="2:3">
      <c r="B515" s="517" t="s">
        <v>637</v>
      </c>
    </row>
    <row r="516" spans="2:3">
      <c r="B516" s="517" t="s">
        <v>638</v>
      </c>
    </row>
    <row r="518" spans="2:3">
      <c r="B518" s="521" t="s">
        <v>639</v>
      </c>
    </row>
    <row r="519" spans="2:3">
      <c r="B519" s="517" t="s">
        <v>640</v>
      </c>
    </row>
    <row r="520" spans="2:3">
      <c r="B520" s="517" t="s">
        <v>641</v>
      </c>
    </row>
    <row r="521" spans="2:3">
      <c r="C521" s="517" t="s">
        <v>642</v>
      </c>
    </row>
    <row r="523" spans="2:3">
      <c r="B523" s="521" t="s">
        <v>643</v>
      </c>
    </row>
    <row r="524" spans="2:3">
      <c r="B524" s="517" t="s">
        <v>644</v>
      </c>
    </row>
    <row r="525" spans="2:3">
      <c r="B525" s="517" t="s">
        <v>645</v>
      </c>
    </row>
    <row r="526" spans="2:3">
      <c r="B526" s="517" t="s">
        <v>646</v>
      </c>
    </row>
    <row r="527" spans="2:3">
      <c r="B527" s="517" t="s">
        <v>647</v>
      </c>
    </row>
    <row r="528" spans="2:3">
      <c r="B528" s="521" t="s">
        <v>649</v>
      </c>
    </row>
    <row r="529" spans="2:13">
      <c r="B529" s="517" t="s">
        <v>648</v>
      </c>
    </row>
    <row r="530" spans="2:13">
      <c r="B530" s="517" t="s">
        <v>650</v>
      </c>
    </row>
    <row r="531" spans="2:13">
      <c r="C531" s="528" t="s">
        <v>651</v>
      </c>
      <c r="M531" s="521" t="s">
        <v>657</v>
      </c>
    </row>
    <row r="532" spans="2:13">
      <c r="M532" s="517" t="s">
        <v>658</v>
      </c>
    </row>
    <row r="533" spans="2:13">
      <c r="M533" s="517" t="s">
        <v>659</v>
      </c>
    </row>
    <row r="534" spans="2:13">
      <c r="M534" s="517" t="s">
        <v>660</v>
      </c>
    </row>
    <row r="537" spans="2:13">
      <c r="C537" s="521" t="s">
        <v>670</v>
      </c>
    </row>
    <row r="542" spans="2:13">
      <c r="B542" s="198" t="s">
        <v>677</v>
      </c>
      <c r="C542" s="517" t="s">
        <v>678</v>
      </c>
      <c r="G542" s="517" t="s">
        <v>679</v>
      </c>
    </row>
  </sheetData>
  <dataValidations disablePrompts="1" count="1">
    <dataValidation type="list" allowBlank="1" showInputMessage="1" showErrorMessage="1" sqref="A120" xr:uid="{3DB3E7CF-434C-4B56-8A3A-D6B53C17F7AC}">
      <formula1>$C$14:$C$16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28"/>
  <sheetViews>
    <sheetView zoomScale="61" zoomScaleNormal="70" workbookViewId="0">
      <selection activeCell="B12" sqref="B12:B13"/>
    </sheetView>
  </sheetViews>
  <sheetFormatPr defaultColWidth="12.453125" defaultRowHeight="15.5"/>
  <cols>
    <col min="1" max="1" width="5.26953125" style="487" customWidth="1"/>
    <col min="2" max="2" width="23.54296875" style="487" customWidth="1"/>
    <col min="3" max="11" width="12.453125" style="487"/>
    <col min="12" max="12" width="2.81640625" style="487" customWidth="1"/>
    <col min="13" max="16384" width="12.453125" style="487"/>
  </cols>
  <sheetData>
    <row r="1" spans="1:16">
      <c r="A1" s="486"/>
      <c r="B1" s="486"/>
      <c r="C1" s="486"/>
      <c r="D1" s="486"/>
      <c r="E1" s="486"/>
      <c r="F1" s="486"/>
      <c r="G1" s="486"/>
      <c r="H1" s="486"/>
      <c r="I1" s="486"/>
      <c r="J1" s="486"/>
    </row>
    <row r="4" spans="1:16" ht="30">
      <c r="D4" s="488"/>
    </row>
    <row r="6" spans="1:16" ht="22.5">
      <c r="B6" s="499" t="s">
        <v>162</v>
      </c>
      <c r="D6" s="490"/>
      <c r="M6" s="487" t="s">
        <v>121</v>
      </c>
    </row>
    <row r="7" spans="1:16">
      <c r="G7" s="491"/>
    </row>
    <row r="10" spans="1:16" ht="30">
      <c r="B10" s="492"/>
    </row>
    <row r="11" spans="1:16" ht="17.5">
      <c r="B11" s="493"/>
      <c r="C11" s="493"/>
      <c r="D11" s="493"/>
    </row>
    <row r="12" spans="1:16" ht="35">
      <c r="B12" s="494" t="s">
        <v>165</v>
      </c>
    </row>
    <row r="13" spans="1:16" ht="20.149999999999999" customHeight="1">
      <c r="B13" s="495">
        <v>45805</v>
      </c>
      <c r="C13" s="493"/>
      <c r="D13" s="493"/>
    </row>
    <row r="15" spans="1:16" ht="16" customHeight="1">
      <c r="P15" s="496"/>
    </row>
    <row r="16" spans="1:16">
      <c r="P16" s="496"/>
    </row>
    <row r="24" spans="1:10" ht="19" customHeight="1">
      <c r="B24" s="500" t="s">
        <v>164</v>
      </c>
      <c r="D24" s="497"/>
      <c r="H24" s="501" t="s">
        <v>161</v>
      </c>
    </row>
    <row r="25" spans="1:10" ht="19" customHeight="1">
      <c r="D25" s="489"/>
    </row>
    <row r="28" spans="1:10" ht="16" thickBot="1">
      <c r="A28" s="498"/>
      <c r="B28" s="498"/>
      <c r="C28" s="498"/>
      <c r="D28" s="498"/>
      <c r="E28" s="498"/>
      <c r="F28" s="498"/>
      <c r="G28" s="498"/>
      <c r="H28" s="498"/>
      <c r="I28" s="498"/>
      <c r="J28" s="498"/>
    </row>
  </sheetData>
  <sheetProtection algorithmName="SHA-512" hashValue="T9BCwrSiI4YdYOj9kW5QAo625kNt95xOnpKW0Fqa8hdNSNxa6Majq4e5oot5QRt0o9XprTTTcJlXjGLSvNtVtA==" saltValue="4Kz/39CQEseSATdAnTnoOg==" spinCount="100000" sheet="1" objects="1" scenarios="1" selectLockedCells="1"/>
  <printOptions horizontalCentered="1" verticalCentered="1"/>
  <pageMargins left="0.25" right="0.25" top="0.35" bottom="0.3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AF67"/>
  <sheetViews>
    <sheetView showGridLines="0" zoomScale="116" zoomScaleNormal="100" workbookViewId="0">
      <selection activeCell="L1" sqref="L1"/>
    </sheetView>
  </sheetViews>
  <sheetFormatPr defaultColWidth="10.7265625" defaultRowHeight="12.5"/>
  <cols>
    <col min="1" max="1" width="2.54296875" style="293" customWidth="1"/>
    <col min="2" max="2" width="4.7265625" style="293" customWidth="1"/>
    <col min="3" max="4" width="1.7265625" style="293" customWidth="1"/>
    <col min="5" max="5" width="20.7265625" style="293" customWidth="1"/>
    <col min="6" max="6" width="9.26953125" style="293" customWidth="1"/>
    <col min="7" max="7" width="1.81640625" style="293" customWidth="1"/>
    <col min="8" max="15" width="9.26953125" style="293" customWidth="1"/>
    <col min="16" max="16" width="1.7265625" style="293" customWidth="1"/>
    <col min="17" max="17" width="4.7265625" style="293" customWidth="1"/>
    <col min="18" max="19" width="2.7265625" style="293" customWidth="1"/>
    <col min="20" max="21" width="1.7265625" style="293" customWidth="1"/>
    <col min="22" max="22" width="20.7265625" style="293" customWidth="1"/>
    <col min="23" max="31" width="9.26953125" style="293" customWidth="1"/>
    <col min="32" max="32" width="1.7265625" style="293" customWidth="1"/>
    <col min="33" max="16384" width="10.7265625" style="293"/>
  </cols>
  <sheetData>
    <row r="1" spans="2:32" ht="15" customHeight="1">
      <c r="L1" s="558" t="str">
        <f>Model!M1</f>
        <v xml:space="preserve"> CURRENTLY RUNNING: BASE CASE SCENARIO</v>
      </c>
      <c r="M1" s="559"/>
      <c r="N1" s="559"/>
      <c r="O1" s="559"/>
      <c r="P1" s="559"/>
      <c r="Q1" s="559"/>
    </row>
    <row r="2" spans="2:32" ht="22.75" customHeight="1">
      <c r="B2" s="290" t="str">
        <f>Cover!B12</f>
        <v xml:space="preserve">Blu Containers Company </v>
      </c>
      <c r="C2" s="291"/>
      <c r="D2" s="291"/>
      <c r="E2" s="291"/>
      <c r="F2" s="291"/>
      <c r="G2" s="291"/>
      <c r="H2" s="292"/>
      <c r="I2" s="292"/>
      <c r="J2" s="292"/>
      <c r="K2" s="292"/>
      <c r="L2" s="292"/>
      <c r="M2" s="292"/>
      <c r="N2" s="292"/>
      <c r="O2" s="292"/>
      <c r="P2" s="292"/>
      <c r="Q2" s="292"/>
      <c r="T2" s="291"/>
      <c r="U2" s="291"/>
      <c r="V2" s="291"/>
      <c r="W2" s="291"/>
      <c r="X2" s="292"/>
      <c r="Y2" s="292"/>
      <c r="Z2" s="292"/>
      <c r="AA2" s="292"/>
      <c r="AB2" s="292"/>
      <c r="AC2" s="292"/>
      <c r="AD2" s="292"/>
      <c r="AE2" s="292"/>
    </row>
    <row r="3" spans="2:32" ht="18">
      <c r="B3" s="294" t="s">
        <v>150</v>
      </c>
      <c r="C3" s="294"/>
      <c r="D3" s="294"/>
      <c r="E3" s="294"/>
      <c r="F3" s="294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T3" s="294"/>
      <c r="U3" s="294"/>
      <c r="V3" s="294"/>
      <c r="W3" s="294"/>
      <c r="X3" s="294"/>
      <c r="Y3" s="294"/>
      <c r="Z3" s="294"/>
      <c r="AA3" s="294"/>
      <c r="AB3" s="294"/>
      <c r="AC3" s="294"/>
      <c r="AD3" s="294"/>
      <c r="AE3" s="294"/>
    </row>
    <row r="4" spans="2:32" ht="3" customHeight="1" thickBot="1"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</row>
    <row r="5" spans="2:32" ht="10" customHeight="1">
      <c r="C5" s="295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5"/>
      <c r="T5" s="295"/>
      <c r="U5" s="295"/>
      <c r="V5" s="295"/>
      <c r="W5" s="295"/>
      <c r="X5" s="295"/>
      <c r="Y5" s="295"/>
      <c r="Z5" s="295"/>
      <c r="AA5" s="295"/>
      <c r="AB5" s="295"/>
      <c r="AC5" s="295"/>
      <c r="AD5" s="295"/>
      <c r="AE5" s="295"/>
    </row>
    <row r="6" spans="2:32" ht="15" customHeight="1">
      <c r="C6" s="296" t="s">
        <v>129</v>
      </c>
      <c r="D6" s="297"/>
      <c r="E6" s="297"/>
      <c r="F6" s="297"/>
      <c r="G6" s="297"/>
      <c r="H6" s="295"/>
      <c r="I6" s="295"/>
      <c r="J6" s="295"/>
      <c r="K6" s="295"/>
      <c r="L6" s="295"/>
      <c r="M6" s="295"/>
      <c r="N6" s="295"/>
      <c r="O6" s="295"/>
      <c r="P6" s="295"/>
      <c r="T6" s="296" t="str">
        <f>"SUMMMARY VALUES - "&amp;UPPER(CHOOSE(Scenarios!$D$7,Scenarios!C15,Scenarios!C16,Scenarios!C17))</f>
        <v>SUMMMARY VALUES - BASE CASE</v>
      </c>
      <c r="U6" s="297"/>
      <c r="V6" s="297"/>
      <c r="W6" s="297"/>
      <c r="X6" s="295"/>
      <c r="Y6" s="295"/>
      <c r="Z6" s="295"/>
      <c r="AA6" s="295"/>
      <c r="AB6" s="295"/>
      <c r="AC6" s="295"/>
      <c r="AD6" s="295"/>
      <c r="AE6" s="295"/>
    </row>
    <row r="7" spans="2:32" s="312" customFormat="1" ht="15" customHeight="1">
      <c r="C7" s="396"/>
      <c r="D7" s="397"/>
      <c r="E7" s="397"/>
      <c r="F7" s="397"/>
      <c r="G7" s="397"/>
      <c r="H7" s="398"/>
      <c r="I7" s="398"/>
      <c r="J7" s="398"/>
      <c r="K7" s="399" t="s">
        <v>2</v>
      </c>
      <c r="L7" s="400"/>
      <c r="M7" s="400"/>
      <c r="N7" s="400"/>
      <c r="O7" s="400"/>
      <c r="P7" s="401"/>
      <c r="T7" s="313"/>
      <c r="U7" s="314"/>
      <c r="V7" s="314"/>
      <c r="W7" s="314"/>
      <c r="X7" s="314"/>
      <c r="Y7" s="314"/>
      <c r="Z7" s="314"/>
      <c r="AA7" s="315" t="s">
        <v>2</v>
      </c>
      <c r="AB7" s="316"/>
      <c r="AC7" s="316"/>
      <c r="AD7" s="316"/>
      <c r="AE7" s="316"/>
      <c r="AF7" s="317"/>
    </row>
    <row r="8" spans="2:32" s="312" customFormat="1" ht="15" customHeight="1">
      <c r="C8" s="402"/>
      <c r="D8" s="365" t="s">
        <v>143</v>
      </c>
      <c r="E8" s="366"/>
      <c r="F8" s="365" t="s">
        <v>160</v>
      </c>
      <c r="G8" s="366"/>
      <c r="H8" s="367">
        <f>X8</f>
        <v>2020</v>
      </c>
      <c r="I8" s="367">
        <f t="shared" ref="I8:O8" si="0">Y8</f>
        <v>2021</v>
      </c>
      <c r="J8" s="367">
        <f t="shared" si="0"/>
        <v>2022</v>
      </c>
      <c r="K8" s="368">
        <f t="shared" si="0"/>
        <v>2023</v>
      </c>
      <c r="L8" s="368">
        <f t="shared" si="0"/>
        <v>2024</v>
      </c>
      <c r="M8" s="368">
        <f t="shared" si="0"/>
        <v>2025</v>
      </c>
      <c r="N8" s="368">
        <f t="shared" si="0"/>
        <v>2026</v>
      </c>
      <c r="O8" s="368">
        <f t="shared" si="0"/>
        <v>2027</v>
      </c>
      <c r="P8" s="403"/>
      <c r="T8" s="318"/>
      <c r="U8" s="319"/>
      <c r="V8" s="319"/>
      <c r="W8" s="319"/>
      <c r="X8" s="320">
        <f>Model!H7</f>
        <v>2020</v>
      </c>
      <c r="Y8" s="320">
        <f>Model!I7</f>
        <v>2021</v>
      </c>
      <c r="Z8" s="320">
        <f>Model!J7</f>
        <v>2022</v>
      </c>
      <c r="AA8" s="321">
        <f>Model!K7</f>
        <v>2023</v>
      </c>
      <c r="AB8" s="321">
        <f>Model!L7</f>
        <v>2024</v>
      </c>
      <c r="AC8" s="321">
        <f>Model!M7</f>
        <v>2025</v>
      </c>
      <c r="AD8" s="321">
        <f>Model!N7</f>
        <v>2026</v>
      </c>
      <c r="AE8" s="321">
        <f>Model!O7</f>
        <v>2027</v>
      </c>
      <c r="AF8" s="322"/>
    </row>
    <row r="9" spans="2:32" ht="3" customHeight="1">
      <c r="C9" s="404"/>
      <c r="D9" s="378"/>
      <c r="E9" s="378"/>
      <c r="F9" s="378"/>
      <c r="G9" s="378"/>
      <c r="H9" s="379"/>
      <c r="I9" s="379"/>
      <c r="J9" s="380"/>
      <c r="K9" s="381"/>
      <c r="L9" s="381"/>
      <c r="M9" s="381"/>
      <c r="N9" s="381"/>
      <c r="O9" s="381"/>
      <c r="P9" s="405"/>
      <c r="T9" s="298"/>
      <c r="X9" s="301"/>
      <c r="Y9" s="301"/>
      <c r="Z9" s="302"/>
      <c r="AA9" s="21"/>
      <c r="AB9" s="21"/>
      <c r="AC9" s="21"/>
      <c r="AD9" s="21"/>
      <c r="AE9" s="21"/>
      <c r="AF9" s="300"/>
    </row>
    <row r="10" spans="2:32" ht="3" customHeight="1">
      <c r="C10" s="406"/>
      <c r="D10" s="386"/>
      <c r="E10" s="386"/>
      <c r="F10" s="386"/>
      <c r="G10" s="386"/>
      <c r="H10" s="387"/>
      <c r="I10" s="387"/>
      <c r="J10" s="388"/>
      <c r="K10" s="389"/>
      <c r="L10" s="389"/>
      <c r="M10" s="389"/>
      <c r="N10" s="389"/>
      <c r="O10" s="389"/>
      <c r="P10" s="407"/>
      <c r="T10" s="298"/>
      <c r="X10" s="301"/>
      <c r="Y10" s="301"/>
      <c r="Z10" s="302"/>
      <c r="AA10" s="21"/>
      <c r="AB10" s="21"/>
      <c r="AC10" s="21"/>
      <c r="AD10" s="21"/>
      <c r="AE10" s="21"/>
      <c r="AF10" s="300"/>
    </row>
    <row r="11" spans="2:32" ht="13" customHeight="1">
      <c r="C11" s="408"/>
      <c r="D11" s="303" t="s">
        <v>123</v>
      </c>
      <c r="P11" s="409"/>
      <c r="T11" s="298"/>
      <c r="U11" s="303" t="s">
        <v>123</v>
      </c>
      <c r="AF11" s="300"/>
    </row>
    <row r="12" spans="2:32" ht="3" customHeight="1">
      <c r="C12" s="408"/>
      <c r="D12" s="303"/>
      <c r="P12" s="409"/>
      <c r="T12" s="298"/>
      <c r="U12" s="303"/>
      <c r="AF12" s="300"/>
    </row>
    <row r="13" spans="2:32">
      <c r="C13" s="408"/>
      <c r="E13" s="293" t="s">
        <v>3</v>
      </c>
      <c r="F13" s="393"/>
      <c r="H13" s="484"/>
      <c r="I13" s="484"/>
      <c r="J13" s="484"/>
      <c r="K13" s="484"/>
      <c r="L13" s="484"/>
      <c r="M13" s="484"/>
      <c r="N13" s="484"/>
      <c r="O13" s="484"/>
      <c r="P13" s="409"/>
      <c r="T13" s="298"/>
      <c r="V13" s="293" t="s">
        <v>3</v>
      </c>
      <c r="W13" s="304" t="s">
        <v>140</v>
      </c>
      <c r="X13" s="482"/>
      <c r="Y13" s="482"/>
      <c r="Z13" s="482"/>
      <c r="AA13" s="482"/>
      <c r="AB13" s="482"/>
      <c r="AC13" s="482"/>
      <c r="AD13" s="482"/>
      <c r="AE13" s="482"/>
      <c r="AF13" s="300"/>
    </row>
    <row r="14" spans="2:32" ht="13">
      <c r="C14" s="408"/>
      <c r="E14" s="306" t="s">
        <v>130</v>
      </c>
      <c r="F14" s="307"/>
      <c r="G14" s="306"/>
      <c r="H14" s="394"/>
      <c r="I14" s="485"/>
      <c r="J14" s="485"/>
      <c r="K14" s="485"/>
      <c r="L14" s="503"/>
      <c r="M14" s="485"/>
      <c r="N14" s="485"/>
      <c r="O14" s="485"/>
      <c r="P14" s="409"/>
      <c r="T14" s="298"/>
      <c r="V14" s="306" t="s">
        <v>130</v>
      </c>
      <c r="W14" s="307" t="s">
        <v>99</v>
      </c>
      <c r="Y14" s="483"/>
      <c r="Z14" s="483"/>
      <c r="AA14" s="483"/>
      <c r="AB14" s="483"/>
      <c r="AC14" s="483"/>
      <c r="AD14" s="483"/>
      <c r="AE14" s="483"/>
      <c r="AF14" s="300"/>
    </row>
    <row r="15" spans="2:32" ht="3" customHeight="1">
      <c r="C15" s="408"/>
      <c r="E15" s="355"/>
      <c r="F15" s="355"/>
      <c r="G15" s="355"/>
      <c r="H15" s="420"/>
      <c r="I15" s="420"/>
      <c r="J15" s="420"/>
      <c r="K15" s="420"/>
      <c r="L15" s="420"/>
      <c r="M15" s="420"/>
      <c r="N15" s="420"/>
      <c r="O15" s="420"/>
      <c r="P15" s="409"/>
      <c r="T15" s="298"/>
      <c r="AF15" s="300"/>
    </row>
    <row r="16" spans="2:32" ht="3" customHeight="1">
      <c r="C16" s="408"/>
      <c r="H16" s="394"/>
      <c r="I16" s="394"/>
      <c r="J16" s="394"/>
      <c r="K16" s="394"/>
      <c r="L16" s="394"/>
      <c r="M16" s="394"/>
      <c r="N16" s="394"/>
      <c r="O16" s="394"/>
      <c r="P16" s="409"/>
      <c r="T16" s="298"/>
      <c r="AF16" s="300"/>
    </row>
    <row r="17" spans="3:32">
      <c r="C17" s="408"/>
      <c r="E17" s="293" t="s">
        <v>5</v>
      </c>
      <c r="F17" s="393"/>
      <c r="H17" s="484"/>
      <c r="I17" s="484"/>
      <c r="J17" s="484"/>
      <c r="K17" s="484"/>
      <c r="L17" s="484"/>
      <c r="M17" s="484"/>
      <c r="N17" s="484"/>
      <c r="O17" s="484"/>
      <c r="P17" s="410"/>
      <c r="T17" s="298"/>
      <c r="V17" s="293" t="s">
        <v>5</v>
      </c>
      <c r="W17" s="304" t="s">
        <v>140</v>
      </c>
      <c r="X17" s="482"/>
      <c r="Y17" s="482"/>
      <c r="Z17" s="482"/>
      <c r="AA17" s="482"/>
      <c r="AB17" s="482"/>
      <c r="AC17" s="482"/>
      <c r="AD17" s="482"/>
      <c r="AE17" s="482"/>
      <c r="AF17" s="300"/>
    </row>
    <row r="18" spans="3:32" ht="13">
      <c r="C18" s="408"/>
      <c r="E18" s="306" t="s">
        <v>131</v>
      </c>
      <c r="F18" s="307"/>
      <c r="G18" s="306"/>
      <c r="H18" s="485"/>
      <c r="I18" s="485"/>
      <c r="J18" s="485"/>
      <c r="K18" s="485"/>
      <c r="L18" s="485"/>
      <c r="M18" s="485"/>
      <c r="N18" s="485"/>
      <c r="O18" s="485"/>
      <c r="P18" s="411"/>
      <c r="T18" s="298"/>
      <c r="V18" s="306" t="s">
        <v>131</v>
      </c>
      <c r="W18" s="307" t="s">
        <v>99</v>
      </c>
      <c r="X18" s="483"/>
      <c r="Y18" s="483"/>
      <c r="Z18" s="483"/>
      <c r="AA18" s="483"/>
      <c r="AB18" s="483"/>
      <c r="AC18" s="483"/>
      <c r="AD18" s="483"/>
      <c r="AE18" s="483"/>
      <c r="AF18" s="300"/>
    </row>
    <row r="19" spans="3:32" ht="13">
      <c r="C19" s="408"/>
      <c r="E19" s="306" t="s">
        <v>130</v>
      </c>
      <c r="F19" s="307"/>
      <c r="G19" s="306"/>
      <c r="H19" s="395"/>
      <c r="I19" s="485"/>
      <c r="J19" s="485"/>
      <c r="K19" s="485"/>
      <c r="L19" s="485"/>
      <c r="M19" s="485"/>
      <c r="N19" s="485"/>
      <c r="O19" s="485"/>
      <c r="P19" s="411"/>
      <c r="T19" s="298"/>
      <c r="V19" s="306" t="s">
        <v>130</v>
      </c>
      <c r="W19" s="307" t="s">
        <v>99</v>
      </c>
      <c r="X19" s="307"/>
      <c r="Y19" s="483"/>
      <c r="Z19" s="483"/>
      <c r="AA19" s="483"/>
      <c r="AB19" s="483"/>
      <c r="AC19" s="483"/>
      <c r="AD19" s="483"/>
      <c r="AE19" s="483"/>
      <c r="AF19" s="300"/>
    </row>
    <row r="20" spans="3:32" ht="3" customHeight="1">
      <c r="C20" s="408"/>
      <c r="E20" s="355"/>
      <c r="F20" s="355"/>
      <c r="G20" s="355"/>
      <c r="H20" s="420"/>
      <c r="I20" s="420"/>
      <c r="J20" s="420"/>
      <c r="K20" s="420"/>
      <c r="L20" s="420"/>
      <c r="M20" s="420"/>
      <c r="N20" s="420"/>
      <c r="O20" s="420"/>
      <c r="P20" s="409"/>
      <c r="T20" s="298"/>
      <c r="AF20" s="300"/>
    </row>
    <row r="21" spans="3:32" ht="3" customHeight="1">
      <c r="C21" s="408"/>
      <c r="H21" s="394"/>
      <c r="I21" s="394"/>
      <c r="J21" s="394"/>
      <c r="K21" s="394"/>
      <c r="L21" s="394"/>
      <c r="M21" s="394"/>
      <c r="N21" s="394"/>
      <c r="O21" s="394"/>
      <c r="P21" s="409"/>
      <c r="T21" s="298"/>
      <c r="AF21" s="300"/>
    </row>
    <row r="22" spans="3:32">
      <c r="C22" s="408"/>
      <c r="E22" s="293" t="s">
        <v>8</v>
      </c>
      <c r="F22" s="393"/>
      <c r="H22" s="484"/>
      <c r="I22" s="484"/>
      <c r="J22" s="484"/>
      <c r="K22" s="484"/>
      <c r="L22" s="484"/>
      <c r="M22" s="484"/>
      <c r="N22" s="484"/>
      <c r="O22" s="484"/>
      <c r="P22" s="410"/>
      <c r="T22" s="298"/>
      <c r="V22" s="293" t="s">
        <v>8</v>
      </c>
      <c r="W22" s="304" t="s">
        <v>140</v>
      </c>
      <c r="X22" s="482"/>
      <c r="Y22" s="482"/>
      <c r="Z22" s="482"/>
      <c r="AA22" s="482"/>
      <c r="AB22" s="482"/>
      <c r="AC22" s="482"/>
      <c r="AD22" s="482"/>
      <c r="AE22" s="482"/>
      <c r="AF22" s="300"/>
    </row>
    <row r="23" spans="3:32" ht="13">
      <c r="C23" s="408"/>
      <c r="E23" s="306" t="s">
        <v>131</v>
      </c>
      <c r="F23" s="357"/>
      <c r="G23" s="306"/>
      <c r="H23" s="485"/>
      <c r="I23" s="485"/>
      <c r="J23" s="485"/>
      <c r="K23" s="485"/>
      <c r="L23" s="485"/>
      <c r="M23" s="485"/>
      <c r="N23" s="485"/>
      <c r="O23" s="485"/>
      <c r="P23" s="410"/>
      <c r="T23" s="298"/>
      <c r="V23" s="306" t="s">
        <v>131</v>
      </c>
      <c r="W23" s="307" t="s">
        <v>99</v>
      </c>
      <c r="X23" s="483"/>
      <c r="Y23" s="483"/>
      <c r="Z23" s="483"/>
      <c r="AA23" s="483"/>
      <c r="AB23" s="483"/>
      <c r="AC23" s="483"/>
      <c r="AD23" s="483"/>
      <c r="AE23" s="483"/>
      <c r="AF23" s="300"/>
    </row>
    <row r="24" spans="3:32" ht="13">
      <c r="C24" s="408"/>
      <c r="E24" s="306" t="s">
        <v>130</v>
      </c>
      <c r="F24" s="357"/>
      <c r="G24" s="306"/>
      <c r="H24" s="395"/>
      <c r="I24" s="485"/>
      <c r="J24" s="485"/>
      <c r="K24" s="485"/>
      <c r="L24" s="485"/>
      <c r="M24" s="485"/>
      <c r="N24" s="485"/>
      <c r="O24" s="485"/>
      <c r="P24" s="410"/>
      <c r="T24" s="298"/>
      <c r="V24" s="306" t="s">
        <v>130</v>
      </c>
      <c r="W24" s="307" t="s">
        <v>99</v>
      </c>
      <c r="X24" s="307"/>
      <c r="Y24" s="483"/>
      <c r="Z24" s="483"/>
      <c r="AA24" s="483"/>
      <c r="AB24" s="483"/>
      <c r="AC24" s="483"/>
      <c r="AD24" s="483"/>
      <c r="AE24" s="483"/>
      <c r="AF24" s="300"/>
    </row>
    <row r="25" spans="3:32" ht="4" customHeight="1">
      <c r="C25" s="412"/>
      <c r="D25" s="413"/>
      <c r="E25" s="414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5"/>
      <c r="T25" s="308"/>
      <c r="U25" s="299"/>
      <c r="V25" s="299"/>
      <c r="W25" s="299"/>
      <c r="X25" s="299"/>
      <c r="Y25" s="299"/>
      <c r="Z25" s="299"/>
      <c r="AA25" s="299"/>
      <c r="AB25" s="299"/>
      <c r="AC25" s="299"/>
      <c r="AD25" s="299"/>
      <c r="AE25" s="299"/>
      <c r="AF25" s="309"/>
    </row>
    <row r="26" spans="3:32" ht="10" customHeight="1"/>
    <row r="27" spans="3:32" ht="15" customHeight="1">
      <c r="C27" s="296" t="s">
        <v>151</v>
      </c>
      <c r="D27" s="297"/>
      <c r="E27" s="297"/>
      <c r="F27" s="297"/>
      <c r="G27" s="297"/>
      <c r="H27" s="295"/>
      <c r="I27" s="295"/>
      <c r="J27" s="295"/>
      <c r="K27" s="295"/>
      <c r="L27" s="295"/>
      <c r="M27" s="295"/>
      <c r="N27" s="295"/>
      <c r="O27" s="295"/>
      <c r="P27" s="295"/>
    </row>
    <row r="28" spans="3:32" s="312" customFormat="1" ht="15" customHeight="1">
      <c r="C28" s="396"/>
      <c r="D28" s="397"/>
      <c r="E28" s="397"/>
      <c r="F28" s="397"/>
      <c r="G28" s="397"/>
      <c r="H28" s="398"/>
      <c r="I28" s="398"/>
      <c r="J28" s="398"/>
      <c r="K28" s="399" t="s">
        <v>2</v>
      </c>
      <c r="L28" s="400"/>
      <c r="M28" s="400"/>
      <c r="N28" s="400"/>
      <c r="O28" s="400"/>
      <c r="P28" s="416"/>
    </row>
    <row r="29" spans="3:32" s="312" customFormat="1" ht="15" customHeight="1">
      <c r="C29" s="402"/>
      <c r="D29" s="365" t="s">
        <v>143</v>
      </c>
      <c r="E29" s="366"/>
      <c r="F29" s="365" t="s">
        <v>160</v>
      </c>
      <c r="G29" s="366"/>
      <c r="H29" s="367">
        <f t="shared" ref="H29:O29" si="1">H8</f>
        <v>2020</v>
      </c>
      <c r="I29" s="367">
        <f t="shared" si="1"/>
        <v>2021</v>
      </c>
      <c r="J29" s="367">
        <f t="shared" si="1"/>
        <v>2022</v>
      </c>
      <c r="K29" s="368">
        <f t="shared" si="1"/>
        <v>2023</v>
      </c>
      <c r="L29" s="368">
        <f t="shared" si="1"/>
        <v>2024</v>
      </c>
      <c r="M29" s="368">
        <f t="shared" si="1"/>
        <v>2025</v>
      </c>
      <c r="N29" s="368">
        <f t="shared" si="1"/>
        <v>2026</v>
      </c>
      <c r="O29" s="368">
        <f t="shared" si="1"/>
        <v>2027</v>
      </c>
      <c r="P29" s="417"/>
    </row>
    <row r="30" spans="3:32" ht="3" customHeight="1">
      <c r="C30" s="404"/>
      <c r="D30" s="378"/>
      <c r="E30" s="378"/>
      <c r="F30" s="378"/>
      <c r="G30" s="378"/>
      <c r="H30" s="379"/>
      <c r="I30" s="379"/>
      <c r="J30" s="380"/>
      <c r="K30" s="381"/>
      <c r="L30" s="381"/>
      <c r="M30" s="381"/>
      <c r="N30" s="381"/>
      <c r="O30" s="381"/>
      <c r="P30" s="405"/>
    </row>
    <row r="31" spans="3:32" ht="3" customHeight="1">
      <c r="C31" s="406"/>
      <c r="D31" s="386"/>
      <c r="E31" s="386"/>
      <c r="F31" s="386"/>
      <c r="G31" s="386"/>
      <c r="H31" s="387"/>
      <c r="I31" s="387"/>
      <c r="J31" s="388"/>
      <c r="K31" s="389"/>
      <c r="L31" s="389"/>
      <c r="M31" s="389"/>
      <c r="N31" s="389"/>
      <c r="O31" s="389"/>
      <c r="P31" s="407"/>
    </row>
    <row r="32" spans="3:32" ht="13" customHeight="1">
      <c r="C32" s="408"/>
      <c r="D32" s="303" t="s">
        <v>123</v>
      </c>
      <c r="P32" s="409"/>
    </row>
    <row r="33" spans="3:31" ht="3" customHeight="1">
      <c r="C33" s="408"/>
      <c r="D33" s="303"/>
      <c r="P33" s="409"/>
    </row>
    <row r="34" spans="3:31">
      <c r="C34" s="408"/>
      <c r="E34" s="293" t="s">
        <v>3</v>
      </c>
      <c r="F34" s="393"/>
      <c r="H34" s="484"/>
      <c r="I34" s="484"/>
      <c r="J34" s="484"/>
      <c r="K34" s="484"/>
      <c r="L34" s="484"/>
      <c r="M34" s="484"/>
      <c r="N34" s="484"/>
      <c r="O34" s="484"/>
      <c r="P34" s="409"/>
      <c r="W34" s="304"/>
      <c r="X34" s="305"/>
      <c r="Y34" s="305"/>
      <c r="Z34" s="305"/>
      <c r="AA34" s="305"/>
      <c r="AB34" s="305"/>
      <c r="AC34" s="305"/>
      <c r="AD34" s="305"/>
      <c r="AE34" s="305"/>
    </row>
    <row r="35" spans="3:31" ht="13">
      <c r="C35" s="408"/>
      <c r="E35" s="306" t="s">
        <v>130</v>
      </c>
      <c r="F35" s="307"/>
      <c r="G35" s="306"/>
      <c r="H35" s="394"/>
      <c r="I35" s="485"/>
      <c r="J35" s="485"/>
      <c r="K35" s="485"/>
      <c r="L35" s="485"/>
      <c r="M35" s="485"/>
      <c r="N35" s="485"/>
      <c r="O35" s="485"/>
      <c r="P35" s="409"/>
      <c r="V35" s="310"/>
      <c r="W35" s="304"/>
      <c r="Y35" s="189"/>
      <c r="Z35" s="189"/>
      <c r="AA35" s="189"/>
      <c r="AB35" s="189"/>
      <c r="AC35" s="189"/>
      <c r="AD35" s="189"/>
      <c r="AE35" s="189"/>
    </row>
    <row r="36" spans="3:31" ht="3" customHeight="1">
      <c r="C36" s="408"/>
      <c r="H36" s="420"/>
      <c r="I36" s="420"/>
      <c r="J36" s="420"/>
      <c r="K36" s="420"/>
      <c r="L36" s="420"/>
      <c r="M36" s="420"/>
      <c r="N36" s="420"/>
      <c r="O36" s="420"/>
      <c r="P36" s="409"/>
    </row>
    <row r="37" spans="3:31" ht="3" customHeight="1">
      <c r="C37" s="408"/>
      <c r="H37" s="394"/>
      <c r="I37" s="394"/>
      <c r="J37" s="394"/>
      <c r="K37" s="394"/>
      <c r="L37" s="394"/>
      <c r="M37" s="394"/>
      <c r="N37" s="394"/>
      <c r="O37" s="394"/>
      <c r="P37" s="409"/>
    </row>
    <row r="38" spans="3:31">
      <c r="C38" s="408"/>
      <c r="E38" s="293" t="s">
        <v>5</v>
      </c>
      <c r="F38" s="393"/>
      <c r="H38" s="484"/>
      <c r="I38" s="484"/>
      <c r="J38" s="484"/>
      <c r="K38" s="484"/>
      <c r="L38" s="484"/>
      <c r="M38" s="484"/>
      <c r="N38" s="484"/>
      <c r="O38" s="484"/>
      <c r="P38" s="410"/>
      <c r="W38" s="304"/>
      <c r="X38" s="305"/>
      <c r="Y38" s="305"/>
      <c r="Z38" s="305"/>
      <c r="AA38" s="305"/>
      <c r="AB38" s="305"/>
      <c r="AC38" s="305"/>
      <c r="AD38" s="305"/>
      <c r="AE38" s="305"/>
    </row>
    <row r="39" spans="3:31" ht="13">
      <c r="C39" s="408"/>
      <c r="E39" s="306" t="s">
        <v>131</v>
      </c>
      <c r="F39" s="307"/>
      <c r="G39" s="306"/>
      <c r="H39" s="485"/>
      <c r="I39" s="485"/>
      <c r="J39" s="485"/>
      <c r="K39" s="485"/>
      <c r="L39" s="485"/>
      <c r="M39" s="485"/>
      <c r="N39" s="485"/>
      <c r="O39" s="485"/>
      <c r="P39" s="411"/>
      <c r="V39" s="310"/>
      <c r="W39" s="304"/>
      <c r="X39" s="189"/>
      <c r="Y39" s="189"/>
      <c r="Z39" s="189"/>
      <c r="AA39" s="189"/>
      <c r="AB39" s="189"/>
      <c r="AC39" s="189"/>
      <c r="AD39" s="189"/>
      <c r="AE39" s="189"/>
    </row>
    <row r="40" spans="3:31" ht="13">
      <c r="C40" s="408"/>
      <c r="E40" s="306" t="s">
        <v>130</v>
      </c>
      <c r="F40" s="307"/>
      <c r="G40" s="306"/>
      <c r="H40" s="395"/>
      <c r="I40" s="485"/>
      <c r="J40" s="485"/>
      <c r="K40" s="485"/>
      <c r="L40" s="485"/>
      <c r="M40" s="485"/>
      <c r="N40" s="485"/>
      <c r="O40" s="485"/>
      <c r="P40" s="411"/>
      <c r="V40" s="310"/>
      <c r="W40" s="304"/>
      <c r="Y40" s="189"/>
      <c r="Z40" s="189"/>
      <c r="AA40" s="189"/>
      <c r="AB40" s="189"/>
      <c r="AC40" s="189"/>
      <c r="AD40" s="189"/>
      <c r="AE40" s="189"/>
    </row>
    <row r="41" spans="3:31" ht="3" customHeight="1">
      <c r="C41" s="408"/>
      <c r="H41" s="420"/>
      <c r="I41" s="420"/>
      <c r="J41" s="420"/>
      <c r="K41" s="420"/>
      <c r="L41" s="420"/>
      <c r="M41" s="420"/>
      <c r="N41" s="420"/>
      <c r="O41" s="420"/>
      <c r="P41" s="409"/>
    </row>
    <row r="42" spans="3:31" ht="3" customHeight="1">
      <c r="C42" s="408"/>
      <c r="H42" s="394"/>
      <c r="I42" s="394"/>
      <c r="J42" s="394"/>
      <c r="K42" s="394"/>
      <c r="L42" s="394"/>
      <c r="M42" s="394"/>
      <c r="N42" s="394"/>
      <c r="O42" s="394"/>
      <c r="P42" s="409"/>
    </row>
    <row r="43" spans="3:31">
      <c r="C43" s="408"/>
      <c r="E43" s="293" t="s">
        <v>8</v>
      </c>
      <c r="F43" s="393"/>
      <c r="H43" s="484"/>
      <c r="I43" s="484"/>
      <c r="J43" s="484"/>
      <c r="K43" s="484"/>
      <c r="L43" s="484"/>
      <c r="M43" s="484"/>
      <c r="N43" s="484"/>
      <c r="O43" s="484"/>
      <c r="P43" s="410"/>
      <c r="W43" s="304"/>
      <c r="X43" s="311"/>
      <c r="Y43" s="311"/>
      <c r="Z43" s="311"/>
      <c r="AA43" s="305"/>
      <c r="AB43" s="305"/>
      <c r="AC43" s="305"/>
      <c r="AD43" s="305"/>
      <c r="AE43" s="305"/>
    </row>
    <row r="44" spans="3:31" ht="13">
      <c r="C44" s="408"/>
      <c r="E44" s="306" t="s">
        <v>131</v>
      </c>
      <c r="F44" s="307"/>
      <c r="G44" s="306"/>
      <c r="H44" s="485"/>
      <c r="I44" s="485"/>
      <c r="J44" s="485"/>
      <c r="K44" s="485"/>
      <c r="L44" s="485"/>
      <c r="M44" s="485"/>
      <c r="N44" s="485"/>
      <c r="O44" s="485"/>
      <c r="P44" s="410"/>
      <c r="W44" s="304"/>
      <c r="X44" s="311"/>
      <c r="Y44" s="311"/>
      <c r="Z44" s="311"/>
      <c r="AA44" s="305"/>
      <c r="AB44" s="305"/>
      <c r="AC44" s="305"/>
      <c r="AD44" s="305"/>
      <c r="AE44" s="305"/>
    </row>
    <row r="45" spans="3:31" ht="13">
      <c r="C45" s="408"/>
      <c r="E45" s="306" t="s">
        <v>130</v>
      </c>
      <c r="F45" s="307"/>
      <c r="G45" s="306"/>
      <c r="H45" s="395"/>
      <c r="I45" s="485"/>
      <c r="J45" s="485"/>
      <c r="K45" s="485"/>
      <c r="L45" s="485"/>
      <c r="M45" s="485"/>
      <c r="N45" s="485"/>
      <c r="O45" s="485"/>
      <c r="P45" s="410"/>
      <c r="W45" s="304"/>
      <c r="X45" s="311"/>
      <c r="Y45" s="311"/>
      <c r="Z45" s="311"/>
      <c r="AA45" s="305"/>
      <c r="AB45" s="305"/>
      <c r="AC45" s="305"/>
      <c r="AD45" s="305"/>
      <c r="AE45" s="305"/>
    </row>
    <row r="46" spans="3:31" ht="4" customHeight="1">
      <c r="C46" s="412"/>
      <c r="D46" s="413"/>
      <c r="E46" s="413"/>
      <c r="F46" s="413"/>
      <c r="G46" s="413"/>
      <c r="H46" s="413"/>
      <c r="I46" s="413"/>
      <c r="J46" s="413"/>
      <c r="K46" s="413"/>
      <c r="L46" s="413"/>
      <c r="M46" s="413"/>
      <c r="N46" s="413"/>
      <c r="O46" s="413"/>
      <c r="P46" s="415"/>
    </row>
    <row r="47" spans="3:31" ht="10" customHeight="1"/>
    <row r="48" spans="3:31" ht="15" customHeight="1">
      <c r="C48" s="296" t="s">
        <v>132</v>
      </c>
      <c r="D48" s="297"/>
      <c r="E48" s="297"/>
      <c r="F48" s="297"/>
      <c r="G48" s="297"/>
      <c r="H48" s="295"/>
      <c r="I48" s="295"/>
      <c r="J48" s="295"/>
      <c r="K48" s="295"/>
      <c r="L48" s="295"/>
      <c r="M48" s="295"/>
      <c r="N48" s="295"/>
      <c r="O48" s="295"/>
      <c r="P48" s="295"/>
    </row>
    <row r="49" spans="3:31" s="312" customFormat="1" ht="15" customHeight="1">
      <c r="C49" s="396"/>
      <c r="D49" s="397"/>
      <c r="E49" s="397"/>
      <c r="F49" s="397"/>
      <c r="G49" s="397"/>
      <c r="H49" s="398"/>
      <c r="I49" s="398"/>
      <c r="J49" s="398"/>
      <c r="K49" s="399" t="s">
        <v>2</v>
      </c>
      <c r="L49" s="400"/>
      <c r="M49" s="400"/>
      <c r="N49" s="400"/>
      <c r="O49" s="400"/>
      <c r="P49" s="416"/>
    </row>
    <row r="50" spans="3:31" s="312" customFormat="1" ht="15" customHeight="1">
      <c r="C50" s="418"/>
      <c r="D50" s="365" t="s">
        <v>143</v>
      </c>
      <c r="E50" s="369"/>
      <c r="F50" s="365" t="s">
        <v>160</v>
      </c>
      <c r="G50" s="369"/>
      <c r="H50" s="370">
        <f>H29</f>
        <v>2020</v>
      </c>
      <c r="I50" s="370">
        <f t="shared" ref="I50:O50" si="2">I29</f>
        <v>2021</v>
      </c>
      <c r="J50" s="370">
        <f t="shared" si="2"/>
        <v>2022</v>
      </c>
      <c r="K50" s="371">
        <f t="shared" si="2"/>
        <v>2023</v>
      </c>
      <c r="L50" s="371">
        <f t="shared" si="2"/>
        <v>2024</v>
      </c>
      <c r="M50" s="371">
        <f t="shared" si="2"/>
        <v>2025</v>
      </c>
      <c r="N50" s="371">
        <f t="shared" si="2"/>
        <v>2026</v>
      </c>
      <c r="O50" s="371">
        <f t="shared" si="2"/>
        <v>2027</v>
      </c>
      <c r="P50" s="419"/>
    </row>
    <row r="51" spans="3:31" ht="3" customHeight="1">
      <c r="C51" s="404"/>
      <c r="D51" s="378"/>
      <c r="E51" s="378"/>
      <c r="F51" s="378"/>
      <c r="G51" s="378"/>
      <c r="H51" s="379"/>
      <c r="I51" s="379"/>
      <c r="J51" s="380"/>
      <c r="K51" s="381"/>
      <c r="L51" s="381"/>
      <c r="M51" s="381"/>
      <c r="N51" s="381"/>
      <c r="O51" s="381"/>
      <c r="P51" s="405"/>
      <c r="X51" s="312"/>
      <c r="Y51" s="312"/>
      <c r="Z51" s="312"/>
      <c r="AA51" s="312"/>
      <c r="AB51" s="312"/>
      <c r="AC51" s="312"/>
      <c r="AD51" s="312"/>
      <c r="AE51" s="312"/>
    </row>
    <row r="52" spans="3:31" ht="3" customHeight="1">
      <c r="C52" s="406"/>
      <c r="D52" s="386"/>
      <c r="E52" s="386"/>
      <c r="F52" s="386"/>
      <c r="G52" s="386"/>
      <c r="H52" s="387"/>
      <c r="I52" s="387"/>
      <c r="J52" s="388"/>
      <c r="K52" s="389"/>
      <c r="L52" s="389"/>
      <c r="M52" s="389"/>
      <c r="N52" s="389"/>
      <c r="O52" s="389"/>
      <c r="P52" s="407"/>
      <c r="X52" s="312"/>
      <c r="Y52" s="312"/>
      <c r="Z52" s="312"/>
      <c r="AA52" s="312"/>
      <c r="AB52" s="312"/>
      <c r="AC52" s="312"/>
      <c r="AD52" s="312"/>
      <c r="AE52" s="312"/>
    </row>
    <row r="53" spans="3:31" ht="13" customHeight="1">
      <c r="C53" s="408"/>
      <c r="D53" s="303" t="s">
        <v>123</v>
      </c>
      <c r="P53" s="409"/>
      <c r="X53" s="312"/>
      <c r="Y53" s="312"/>
      <c r="Z53" s="312"/>
      <c r="AA53" s="312"/>
      <c r="AB53" s="312"/>
      <c r="AC53" s="312"/>
      <c r="AD53" s="312"/>
      <c r="AE53" s="312"/>
    </row>
    <row r="54" spans="3:31">
      <c r="C54" s="408"/>
      <c r="E54" s="293" t="s">
        <v>3</v>
      </c>
      <c r="F54" s="393"/>
      <c r="H54" s="484"/>
      <c r="I54" s="484"/>
      <c r="J54" s="484"/>
      <c r="K54" s="484"/>
      <c r="L54" s="484"/>
      <c r="M54" s="484"/>
      <c r="N54" s="484"/>
      <c r="O54" s="484"/>
      <c r="P54" s="409"/>
      <c r="W54" s="304"/>
      <c r="X54" s="312"/>
      <c r="Y54" s="312"/>
      <c r="Z54" s="312"/>
      <c r="AA54" s="312"/>
      <c r="AB54" s="312"/>
      <c r="AC54" s="312"/>
      <c r="AD54" s="312"/>
      <c r="AE54" s="312"/>
    </row>
    <row r="55" spans="3:31" ht="13">
      <c r="C55" s="408"/>
      <c r="E55" s="306" t="s">
        <v>130</v>
      </c>
      <c r="F55" s="307"/>
      <c r="G55" s="306"/>
      <c r="H55" s="394"/>
      <c r="I55" s="485"/>
      <c r="J55" s="485"/>
      <c r="K55" s="485"/>
      <c r="L55" s="485"/>
      <c r="M55" s="485"/>
      <c r="N55" s="485"/>
      <c r="O55" s="485"/>
      <c r="P55" s="409"/>
      <c r="V55" s="310"/>
      <c r="W55" s="304"/>
      <c r="X55" s="312"/>
      <c r="Y55" s="312"/>
      <c r="Z55" s="312"/>
      <c r="AA55" s="312"/>
      <c r="AB55" s="312"/>
      <c r="AC55" s="312"/>
      <c r="AD55" s="312"/>
      <c r="AE55" s="312"/>
    </row>
    <row r="56" spans="3:31" ht="3" customHeight="1">
      <c r="C56" s="408"/>
      <c r="H56" s="420"/>
      <c r="I56" s="420"/>
      <c r="J56" s="420"/>
      <c r="K56" s="420"/>
      <c r="L56" s="420"/>
      <c r="M56" s="420"/>
      <c r="N56" s="420"/>
      <c r="O56" s="420"/>
      <c r="P56" s="409"/>
      <c r="X56" s="312"/>
      <c r="Y56" s="312"/>
      <c r="Z56" s="312"/>
      <c r="AA56" s="312"/>
      <c r="AB56" s="312"/>
      <c r="AC56" s="312"/>
      <c r="AD56" s="312"/>
      <c r="AE56" s="312"/>
    </row>
    <row r="57" spans="3:31" ht="3" customHeight="1">
      <c r="C57" s="408"/>
      <c r="H57" s="394"/>
      <c r="I57" s="394"/>
      <c r="J57" s="394"/>
      <c r="K57" s="394"/>
      <c r="L57" s="394"/>
      <c r="M57" s="394"/>
      <c r="N57" s="394"/>
      <c r="O57" s="394"/>
      <c r="P57" s="409"/>
      <c r="X57" s="312"/>
      <c r="Y57" s="312"/>
      <c r="Z57" s="312"/>
      <c r="AA57" s="312"/>
      <c r="AB57" s="312"/>
      <c r="AC57" s="312"/>
      <c r="AD57" s="312"/>
      <c r="AE57" s="312"/>
    </row>
    <row r="58" spans="3:31">
      <c r="C58" s="408"/>
      <c r="E58" s="293" t="s">
        <v>5</v>
      </c>
      <c r="F58" s="393"/>
      <c r="H58" s="484"/>
      <c r="I58" s="484"/>
      <c r="J58" s="484"/>
      <c r="K58" s="484"/>
      <c r="L58" s="484"/>
      <c r="M58" s="484"/>
      <c r="N58" s="484"/>
      <c r="O58" s="484"/>
      <c r="P58" s="410"/>
      <c r="W58" s="304"/>
      <c r="X58" s="312"/>
      <c r="Y58" s="312"/>
      <c r="Z58" s="312"/>
      <c r="AA58" s="312"/>
      <c r="AB58" s="312"/>
      <c r="AC58" s="312"/>
      <c r="AD58" s="312"/>
      <c r="AE58" s="312"/>
    </row>
    <row r="59" spans="3:31" ht="13">
      <c r="C59" s="408"/>
      <c r="E59" s="306" t="s">
        <v>131</v>
      </c>
      <c r="F59" s="307"/>
      <c r="G59" s="306"/>
      <c r="H59" s="485"/>
      <c r="I59" s="485"/>
      <c r="J59" s="485"/>
      <c r="K59" s="485"/>
      <c r="L59" s="485"/>
      <c r="M59" s="485"/>
      <c r="N59" s="485"/>
      <c r="O59" s="485"/>
      <c r="P59" s="411"/>
      <c r="V59" s="310"/>
      <c r="W59" s="304"/>
      <c r="X59" s="312"/>
      <c r="Y59" s="312"/>
      <c r="Z59" s="312"/>
      <c r="AA59" s="312"/>
      <c r="AB59" s="312"/>
      <c r="AC59" s="312"/>
      <c r="AD59" s="312"/>
      <c r="AE59" s="312"/>
    </row>
    <row r="60" spans="3:31" ht="13">
      <c r="C60" s="408"/>
      <c r="E60" s="306" t="s">
        <v>130</v>
      </c>
      <c r="F60" s="307"/>
      <c r="G60" s="306"/>
      <c r="H60" s="395"/>
      <c r="I60" s="485"/>
      <c r="J60" s="485"/>
      <c r="K60" s="485"/>
      <c r="L60" s="485"/>
      <c r="M60" s="485"/>
      <c r="N60" s="485"/>
      <c r="O60" s="485"/>
      <c r="P60" s="411"/>
      <c r="V60" s="310"/>
      <c r="W60" s="304"/>
      <c r="X60" s="312"/>
      <c r="Y60" s="312"/>
      <c r="Z60" s="312"/>
      <c r="AA60" s="312"/>
      <c r="AB60" s="312"/>
      <c r="AC60" s="312"/>
      <c r="AD60" s="312"/>
      <c r="AE60" s="312"/>
    </row>
    <row r="61" spans="3:31" ht="3" customHeight="1">
      <c r="C61" s="408"/>
      <c r="H61" s="420"/>
      <c r="I61" s="420"/>
      <c r="J61" s="420"/>
      <c r="K61" s="420"/>
      <c r="L61" s="420"/>
      <c r="M61" s="420"/>
      <c r="N61" s="420"/>
      <c r="O61" s="420"/>
      <c r="P61" s="409"/>
      <c r="X61" s="312"/>
      <c r="Y61" s="312"/>
      <c r="Z61" s="312"/>
      <c r="AA61" s="312"/>
      <c r="AB61" s="312"/>
      <c r="AC61" s="312"/>
      <c r="AD61" s="312"/>
      <c r="AE61" s="312"/>
    </row>
    <row r="62" spans="3:31" ht="3" customHeight="1">
      <c r="C62" s="408"/>
      <c r="H62" s="394"/>
      <c r="I62" s="394"/>
      <c r="J62" s="394"/>
      <c r="K62" s="394"/>
      <c r="L62" s="394"/>
      <c r="M62" s="394"/>
      <c r="N62" s="394"/>
      <c r="O62" s="394"/>
      <c r="P62" s="409"/>
      <c r="X62" s="312"/>
      <c r="Y62" s="312"/>
      <c r="Z62" s="312"/>
      <c r="AA62" s="312"/>
      <c r="AB62" s="312"/>
      <c r="AC62" s="312"/>
      <c r="AD62" s="312"/>
      <c r="AE62" s="312"/>
    </row>
    <row r="63" spans="3:31">
      <c r="C63" s="408"/>
      <c r="E63" s="293" t="s">
        <v>8</v>
      </c>
      <c r="F63" s="393"/>
      <c r="H63" s="484"/>
      <c r="I63" s="484"/>
      <c r="J63" s="484"/>
      <c r="K63" s="484"/>
      <c r="L63" s="484"/>
      <c r="M63" s="484"/>
      <c r="N63" s="484"/>
      <c r="O63" s="484"/>
      <c r="P63" s="410"/>
      <c r="W63" s="304"/>
      <c r="X63" s="312"/>
      <c r="Y63" s="312"/>
      <c r="Z63" s="312"/>
      <c r="AA63" s="312"/>
      <c r="AB63" s="312"/>
      <c r="AC63" s="312"/>
      <c r="AD63" s="312"/>
      <c r="AE63" s="312"/>
    </row>
    <row r="64" spans="3:31" ht="13">
      <c r="C64" s="408"/>
      <c r="E64" s="306" t="s">
        <v>131</v>
      </c>
      <c r="F64" s="307"/>
      <c r="G64" s="306"/>
      <c r="H64" s="485"/>
      <c r="I64" s="485"/>
      <c r="J64" s="485"/>
      <c r="K64" s="485"/>
      <c r="L64" s="485"/>
      <c r="M64" s="485"/>
      <c r="N64" s="485"/>
      <c r="O64" s="485"/>
      <c r="P64" s="410"/>
      <c r="W64" s="304"/>
      <c r="X64" s="312"/>
      <c r="Y64" s="312"/>
      <c r="Z64" s="312"/>
      <c r="AA64" s="312"/>
      <c r="AB64" s="312"/>
      <c r="AC64" s="312"/>
      <c r="AD64" s="312"/>
      <c r="AE64" s="312"/>
    </row>
    <row r="65" spans="2:31" ht="13">
      <c r="C65" s="408"/>
      <c r="E65" s="306" t="s">
        <v>130</v>
      </c>
      <c r="F65" s="307"/>
      <c r="G65" s="306"/>
      <c r="H65" s="395"/>
      <c r="I65" s="485"/>
      <c r="J65" s="485"/>
      <c r="K65" s="485"/>
      <c r="L65" s="485"/>
      <c r="M65" s="485"/>
      <c r="N65" s="485"/>
      <c r="O65" s="485"/>
      <c r="P65" s="410"/>
      <c r="W65" s="304"/>
      <c r="X65" s="312"/>
      <c r="Y65" s="312"/>
      <c r="Z65" s="312"/>
      <c r="AA65" s="312"/>
      <c r="AB65" s="312"/>
      <c r="AC65" s="312"/>
      <c r="AD65" s="312"/>
      <c r="AE65" s="312"/>
    </row>
    <row r="66" spans="2:31" ht="4" customHeight="1">
      <c r="C66" s="412"/>
      <c r="D66" s="413"/>
      <c r="E66" s="413"/>
      <c r="F66" s="413"/>
      <c r="G66" s="413"/>
      <c r="H66" s="413"/>
      <c r="I66" s="413"/>
      <c r="J66" s="413"/>
      <c r="K66" s="413"/>
      <c r="L66" s="413"/>
      <c r="M66" s="413"/>
      <c r="N66" s="413"/>
      <c r="O66" s="413"/>
      <c r="P66" s="415"/>
      <c r="X66" s="312"/>
      <c r="Y66" s="312"/>
      <c r="Z66" s="312"/>
      <c r="AA66" s="312"/>
      <c r="AB66" s="312"/>
      <c r="AC66" s="312"/>
      <c r="AD66" s="312"/>
      <c r="AE66" s="312"/>
    </row>
    <row r="67" spans="2:31" ht="12" customHeight="1">
      <c r="B67" s="299"/>
      <c r="C67" s="299"/>
      <c r="D67" s="299"/>
      <c r="E67" s="299"/>
      <c r="F67" s="299"/>
      <c r="G67" s="299"/>
      <c r="H67" s="299"/>
      <c r="I67" s="299"/>
      <c r="J67" s="299"/>
      <c r="K67" s="299"/>
      <c r="L67" s="299"/>
      <c r="M67" s="299"/>
      <c r="N67" s="299"/>
      <c r="O67" s="299"/>
      <c r="P67" s="299"/>
      <c r="Q67" s="299"/>
      <c r="X67" s="312"/>
      <c r="Y67" s="312"/>
      <c r="Z67" s="312"/>
      <c r="AA67" s="312"/>
      <c r="AB67" s="312"/>
      <c r="AC67" s="312"/>
      <c r="AD67" s="312"/>
      <c r="AE67" s="312"/>
    </row>
  </sheetData>
  <printOptions horizontalCentered="1"/>
  <pageMargins left="0.23622047244094491" right="0.23622047244094491" top="0.35433070866141736" bottom="0.51181102362204722" header="0.23622047244094491" footer="0.23622047244094491"/>
  <pageSetup scale="85" orientation="landscape" r:id="rId1"/>
  <headerFooter alignWithMargins="0">
    <oddFooter>&amp;L&amp;Z&amp;F&amp;A&amp;CPage &amp;P of &amp;N&amp;R&amp;D&amp;T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high="1" low="1" xr2:uid="{4924D4C9-984C-4594-998A-20C6D0FE1C6A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Summary!H63:O63</xm:f>
              <xm:sqref>F63</xm:sqref>
            </x14:sparkline>
          </x14:sparklines>
        </x14:sparklineGroup>
        <x14:sparklineGroup lineWeight="1" displayEmptyCellsAs="gap" high="1" low="1" xr2:uid="{EDAF874D-F657-491B-9B83-DF36A749AF6C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Summary!H58:O58</xm:f>
              <xm:sqref>F58</xm:sqref>
            </x14:sparkline>
          </x14:sparklines>
        </x14:sparklineGroup>
        <x14:sparklineGroup lineWeight="1" displayEmptyCellsAs="gap" high="1" low="1" xr2:uid="{210DCF42-6BB4-4817-B593-1DB3DE3EEC14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Summary!H54:O54</xm:f>
              <xm:sqref>F54</xm:sqref>
            </x14:sparkline>
          </x14:sparklines>
        </x14:sparklineGroup>
        <x14:sparklineGroup lineWeight="1" displayEmptyCellsAs="gap" high="1" low="1" xr2:uid="{AD712293-37A1-4BBB-9B0B-D14D90E896D3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Summary!H43:O43</xm:f>
              <xm:sqref>F43</xm:sqref>
            </x14:sparkline>
          </x14:sparklines>
        </x14:sparklineGroup>
        <x14:sparklineGroup lineWeight="1" displayEmptyCellsAs="gap" high="1" low="1" xr2:uid="{64F1AC68-22C1-494C-8DB9-8B7DE5149FD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Summary!H38:O38</xm:f>
              <xm:sqref>F38</xm:sqref>
            </x14:sparkline>
          </x14:sparklines>
        </x14:sparklineGroup>
        <x14:sparklineGroup lineWeight="1" displayEmptyCellsAs="gap" high="1" low="1" xr2:uid="{922AC61D-B8DA-48C6-B9FA-F462165B173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Summary!H34:O34</xm:f>
              <xm:sqref>F34</xm:sqref>
            </x14:sparkline>
          </x14:sparklines>
        </x14:sparklineGroup>
        <x14:sparklineGroup lineWeight="1" displayEmptyCellsAs="gap" high="1" low="1" xr2:uid="{7C576C4A-CC28-42C3-BB62-0E794D368835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Summary!H22:O22</xm:f>
              <xm:sqref>F22</xm:sqref>
            </x14:sparkline>
          </x14:sparklines>
        </x14:sparklineGroup>
        <x14:sparklineGroup lineWeight="1" displayEmptyCellsAs="gap" high="1" low="1" xr2:uid="{B52FA5C1-8ABD-4858-952B-1FE363D8F282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Summary!H13:O13</xm:f>
              <xm:sqref>F13</xm:sqref>
            </x14:sparkline>
          </x14:sparklines>
        </x14:sparklineGroup>
        <x14:sparklineGroup lineWeight="1" displayEmptyCellsAs="gap" high="1" low="1" xr2:uid="{6432E141-2854-439F-993C-6CC4FD658F77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Summary!H17:O17</xm:f>
              <xm:sqref>F17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Q80"/>
  <sheetViews>
    <sheetView showGridLines="0" topLeftCell="A3" zoomScaleNormal="100" zoomScaleSheetLayoutView="100" workbookViewId="0">
      <selection activeCell="L35" sqref="L35"/>
    </sheetView>
  </sheetViews>
  <sheetFormatPr defaultColWidth="8.81640625" defaultRowHeight="12.5"/>
  <cols>
    <col min="1" max="1" width="2.54296875" customWidth="1"/>
    <col min="2" max="2" width="5.54296875" customWidth="1"/>
    <col min="3" max="3" width="2.1796875" customWidth="1"/>
    <col min="4" max="4" width="13.453125" customWidth="1"/>
    <col min="5" max="14" width="10.453125" customWidth="1"/>
    <col min="15" max="15" width="5.54296875" customWidth="1"/>
    <col min="16" max="16" width="4" customWidth="1"/>
  </cols>
  <sheetData>
    <row r="1" spans="2:17" ht="26" customHeight="1">
      <c r="L1" s="557" t="str">
        <f>Model!M1</f>
        <v xml:space="preserve"> CURRENTLY RUNNING: BASE CASE SCENARIO</v>
      </c>
      <c r="M1" s="557"/>
      <c r="N1" s="557"/>
      <c r="O1" s="557"/>
      <c r="P1" s="557"/>
    </row>
    <row r="2" spans="2:17" ht="22.5" customHeight="1">
      <c r="B2" s="1" t="str">
        <f>Summary!B2</f>
        <v xml:space="preserve">Blu Containers Company </v>
      </c>
      <c r="C2" s="2"/>
      <c r="D2" s="516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2:17" ht="18.75" customHeight="1">
      <c r="B3" s="4" t="s">
        <v>96</v>
      </c>
      <c r="C3" s="4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2:17" ht="3" customHeight="1" thickBot="1">
      <c r="B4" s="363"/>
      <c r="C4" s="363"/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</row>
    <row r="5" spans="2:17" ht="12" customHeight="1"/>
    <row r="6" spans="2:17" ht="16" customHeight="1">
      <c r="C6" s="372" t="s">
        <v>72</v>
      </c>
      <c r="D6" s="373"/>
      <c r="E6" s="373"/>
      <c r="F6" s="373"/>
      <c r="G6" s="373"/>
      <c r="H6" s="374"/>
      <c r="J6" s="372" t="s">
        <v>105</v>
      </c>
      <c r="K6" s="373"/>
      <c r="L6" s="373"/>
      <c r="M6" s="373"/>
      <c r="N6" s="374"/>
    </row>
    <row r="7" spans="2:17" ht="3" customHeight="1">
      <c r="C7" s="382"/>
      <c r="D7" s="383"/>
      <c r="E7" s="383"/>
      <c r="F7" s="383"/>
      <c r="G7" s="383"/>
      <c r="H7" s="384"/>
      <c r="J7" s="382"/>
      <c r="K7" s="383"/>
      <c r="L7" s="383"/>
      <c r="M7" s="383"/>
      <c r="N7" s="384"/>
    </row>
    <row r="8" spans="2:17" ht="3" customHeight="1">
      <c r="C8" s="390"/>
      <c r="D8" s="391"/>
      <c r="E8" s="391"/>
      <c r="F8" s="391"/>
      <c r="G8" s="391"/>
      <c r="H8" s="392"/>
      <c r="J8" s="390"/>
      <c r="K8" s="391"/>
      <c r="L8" s="391"/>
      <c r="M8" s="391"/>
      <c r="N8" s="392"/>
    </row>
    <row r="9" spans="2:17" ht="14.15" customHeight="1">
      <c r="C9" s="324" t="s">
        <v>71</v>
      </c>
      <c r="D9" s="19" t="s">
        <v>124</v>
      </c>
      <c r="G9" s="481">
        <v>2023</v>
      </c>
      <c r="H9" s="325"/>
      <c r="J9" s="330" t="str">
        <f ca="1">"Stock Price - "&amp;TEXT(TODAY()-1,"mm/dd/yy")</f>
        <v>Stock Price - 06/04/25</v>
      </c>
      <c r="K9" s="7"/>
      <c r="M9" s="8"/>
      <c r="N9" s="478">
        <v>11.5</v>
      </c>
      <c r="Q9" s="9"/>
    </row>
    <row r="10" spans="2:17" ht="14.15" customHeight="1">
      <c r="C10" s="324" t="s">
        <v>71</v>
      </c>
      <c r="D10" s="10" t="s">
        <v>139</v>
      </c>
      <c r="H10" s="325"/>
      <c r="J10" s="330" t="str">
        <f>"Fully Diluted Shares O/S (MM) - Dec. 31, "&amp;G9-1</f>
        <v>Fully Diluted Shares O/S (MM) - Dec. 31, 2022</v>
      </c>
      <c r="N10" s="479">
        <v>14.8</v>
      </c>
    </row>
    <row r="11" spans="2:17" ht="14.15" customHeight="1">
      <c r="C11" s="326"/>
      <c r="D11" s="327" t="s">
        <v>113</v>
      </c>
      <c r="E11" s="328"/>
      <c r="F11" s="328"/>
      <c r="G11" s="328"/>
      <c r="H11" s="329"/>
      <c r="J11" s="331" t="s">
        <v>106</v>
      </c>
      <c r="K11" s="328"/>
      <c r="L11" s="328"/>
      <c r="M11" s="332"/>
      <c r="N11" s="480">
        <v>0.2</v>
      </c>
    </row>
    <row r="12" spans="2:17" ht="14.15" customHeight="1">
      <c r="M12" s="8"/>
      <c r="N12" s="323"/>
    </row>
    <row r="13" spans="2:17" ht="6" customHeight="1">
      <c r="M13" s="8"/>
      <c r="N13" s="323"/>
    </row>
    <row r="14" spans="2:17" s="13" customFormat="1" ht="16" customHeight="1">
      <c r="C14" s="372" t="s">
        <v>73</v>
      </c>
      <c r="D14" s="373"/>
      <c r="E14" s="373"/>
      <c r="F14" s="373"/>
      <c r="G14" s="373"/>
      <c r="H14" s="374"/>
      <c r="J14" s="372" t="s">
        <v>74</v>
      </c>
      <c r="K14" s="373"/>
      <c r="L14" s="373"/>
      <c r="M14" s="373"/>
      <c r="N14" s="374"/>
    </row>
    <row r="15" spans="2:17" s="13" customFormat="1" ht="3" customHeight="1">
      <c r="C15" s="382"/>
      <c r="D15" s="383"/>
      <c r="E15" s="383"/>
      <c r="F15" s="383"/>
      <c r="G15" s="383"/>
      <c r="H15" s="384"/>
      <c r="J15" s="382"/>
      <c r="K15" s="383"/>
      <c r="L15" s="383"/>
      <c r="M15" s="383"/>
      <c r="N15" s="384"/>
    </row>
    <row r="16" spans="2:17" s="13" customFormat="1" ht="3" customHeight="1">
      <c r="C16" s="390"/>
      <c r="D16" s="391"/>
      <c r="E16" s="391"/>
      <c r="F16" s="391"/>
      <c r="G16" s="391"/>
      <c r="H16" s="392"/>
      <c r="J16" s="390"/>
      <c r="K16" s="391"/>
      <c r="L16" s="391"/>
      <c r="M16" s="391"/>
      <c r="N16" s="392"/>
    </row>
    <row r="17" spans="3:14" ht="14.15" customHeight="1">
      <c r="C17" s="324" t="s">
        <v>71</v>
      </c>
      <c r="D17" s="10" t="s">
        <v>70</v>
      </c>
      <c r="H17" s="325"/>
      <c r="J17" s="330"/>
      <c r="N17" s="325"/>
    </row>
    <row r="18" spans="3:14" ht="14.15" customHeight="1">
      <c r="C18" s="334" t="s">
        <v>0</v>
      </c>
      <c r="D18" s="14"/>
      <c r="E18" s="15" t="str">
        <f>Scenarios!G7&amp;" - "&amp;Scenarios!K7</f>
        <v>2023 - 2027</v>
      </c>
      <c r="F18" s="16"/>
      <c r="G18" s="15"/>
      <c r="H18" s="509"/>
      <c r="J18" s="333" t="s">
        <v>157</v>
      </c>
      <c r="N18" s="477">
        <v>420</v>
      </c>
    </row>
    <row r="19" spans="3:14" s="17" customFormat="1" ht="15.5">
      <c r="C19" s="335" t="s">
        <v>55</v>
      </c>
      <c r="D19"/>
      <c r="E19" s="3" t="s">
        <v>120</v>
      </c>
      <c r="F19" s="3"/>
      <c r="G19" s="3"/>
      <c r="H19" s="509"/>
      <c r="I19" s="18"/>
      <c r="J19" s="330"/>
      <c r="K19"/>
      <c r="L19"/>
      <c r="M19"/>
      <c r="N19" s="325"/>
    </row>
    <row r="20" spans="3:14" ht="14.15" customHeight="1">
      <c r="C20" s="335" t="s">
        <v>56</v>
      </c>
      <c r="F20" s="475">
        <v>0.04</v>
      </c>
      <c r="G20" s="3"/>
      <c r="H20" s="509"/>
      <c r="I20" s="19"/>
      <c r="J20" s="330" t="s">
        <v>324</v>
      </c>
      <c r="N20" s="532">
        <f>MAX(Model!K22:O22)</f>
        <v>1</v>
      </c>
    </row>
    <row r="21" spans="3:14" ht="15.65" customHeight="1">
      <c r="C21" s="336" t="s">
        <v>57</v>
      </c>
      <c r="D21" s="328"/>
      <c r="E21" s="328"/>
      <c r="F21" s="476">
        <v>-0.04</v>
      </c>
      <c r="G21" s="513"/>
      <c r="H21" s="510"/>
      <c r="I21" s="19"/>
      <c r="J21" s="331"/>
      <c r="K21" s="328"/>
      <c r="L21" s="328"/>
      <c r="M21" s="328"/>
      <c r="N21" s="329"/>
    </row>
    <row r="22" spans="3:14" ht="14.15" customHeight="1">
      <c r="I22" s="19"/>
    </row>
    <row r="23" spans="3:14" ht="6" customHeight="1">
      <c r="I23" s="19"/>
    </row>
    <row r="24" spans="3:14" s="13" customFormat="1" ht="16" customHeight="1">
      <c r="C24" s="372" t="s">
        <v>76</v>
      </c>
      <c r="D24" s="373"/>
      <c r="E24" s="373"/>
      <c r="F24" s="373"/>
      <c r="G24" s="373"/>
      <c r="H24" s="374"/>
      <c r="J24" s="372" t="s">
        <v>154</v>
      </c>
      <c r="K24" s="373"/>
      <c r="L24" s="373"/>
      <c r="M24" s="373"/>
      <c r="N24" s="374"/>
    </row>
    <row r="25" spans="3:14" ht="3" customHeight="1">
      <c r="C25" s="382"/>
      <c r="D25" s="383"/>
      <c r="E25" s="383"/>
      <c r="F25" s="383"/>
      <c r="G25" s="383"/>
      <c r="H25" s="384"/>
      <c r="J25" s="382"/>
      <c r="K25" s="383"/>
      <c r="L25" s="383"/>
      <c r="M25" s="383"/>
      <c r="N25" s="384"/>
    </row>
    <row r="26" spans="3:14" ht="3" customHeight="1">
      <c r="C26" s="390"/>
      <c r="D26" s="391"/>
      <c r="E26" s="391"/>
      <c r="F26" s="391"/>
      <c r="G26" s="391"/>
      <c r="H26" s="392"/>
      <c r="J26" s="390"/>
      <c r="K26" s="391"/>
      <c r="L26" s="391"/>
      <c r="M26" s="391"/>
      <c r="N26" s="392"/>
    </row>
    <row r="27" spans="3:14" ht="15.65" customHeight="1">
      <c r="C27" s="334" t="s">
        <v>77</v>
      </c>
      <c r="D27" s="10"/>
      <c r="E27" s="21">
        <f>G9</f>
        <v>2023</v>
      </c>
      <c r="G27" s="21" t="s">
        <v>78</v>
      </c>
      <c r="H27" s="325"/>
      <c r="J27" s="339"/>
      <c r="N27" s="325"/>
    </row>
    <row r="28" spans="3:14" ht="14.15" customHeight="1">
      <c r="C28" s="337" t="s">
        <v>234</v>
      </c>
      <c r="D28" s="10"/>
      <c r="E28" s="468">
        <v>226</v>
      </c>
      <c r="F28" t="s">
        <v>125</v>
      </c>
      <c r="G28" t="s">
        <v>79</v>
      </c>
      <c r="H28" s="325"/>
      <c r="J28" s="340" t="s">
        <v>239</v>
      </c>
      <c r="M28" s="23"/>
      <c r="N28" s="474">
        <v>0.01</v>
      </c>
    </row>
    <row r="29" spans="3:14" ht="14.15" customHeight="1">
      <c r="C29" s="337" t="s">
        <v>235</v>
      </c>
      <c r="D29" s="10"/>
      <c r="E29" s="468">
        <v>66.2</v>
      </c>
      <c r="F29" t="s">
        <v>125</v>
      </c>
      <c r="G29" t="s">
        <v>79</v>
      </c>
      <c r="H29" s="325"/>
      <c r="J29" s="341" t="s">
        <v>240</v>
      </c>
      <c r="N29" s="474">
        <v>0.06</v>
      </c>
    </row>
    <row r="30" spans="3:14" ht="14.15" customHeight="1">
      <c r="C30" s="337" t="s">
        <v>236</v>
      </c>
      <c r="D30" s="19"/>
      <c r="E30" s="468">
        <v>23.5</v>
      </c>
      <c r="F30" t="s">
        <v>126</v>
      </c>
      <c r="G30" t="s">
        <v>158</v>
      </c>
      <c r="H30" s="325"/>
      <c r="J30" s="341" t="s">
        <v>241</v>
      </c>
      <c r="N30" s="474">
        <v>0.06</v>
      </c>
    </row>
    <row r="31" spans="3:14" ht="15.65" customHeight="1">
      <c r="C31" s="337" t="s">
        <v>237</v>
      </c>
      <c r="D31" s="19"/>
      <c r="E31" s="468">
        <v>43.5</v>
      </c>
      <c r="F31" t="s">
        <v>126</v>
      </c>
      <c r="G31" t="s">
        <v>158</v>
      </c>
      <c r="H31" s="325"/>
      <c r="J31" s="330"/>
      <c r="N31" s="325"/>
    </row>
    <row r="32" spans="3:14" ht="14.15" customHeight="1">
      <c r="C32" s="337" t="s">
        <v>10</v>
      </c>
      <c r="D32" s="19"/>
      <c r="E32" s="468">
        <v>2</v>
      </c>
      <c r="F32" t="s">
        <v>126</v>
      </c>
      <c r="G32" t="s">
        <v>158</v>
      </c>
      <c r="H32" s="325"/>
      <c r="J32" s="330"/>
      <c r="N32" s="325"/>
    </row>
    <row r="33" spans="2:15" ht="15.65" customHeight="1">
      <c r="C33" s="338" t="s">
        <v>238</v>
      </c>
      <c r="D33" s="327"/>
      <c r="E33" s="511">
        <v>3.9</v>
      </c>
      <c r="F33" s="328" t="s">
        <v>126</v>
      </c>
      <c r="G33" s="328" t="s">
        <v>158</v>
      </c>
      <c r="H33" s="329"/>
      <c r="J33" s="331"/>
      <c r="K33" s="328"/>
      <c r="L33" s="328"/>
      <c r="M33" s="328"/>
      <c r="N33" s="329"/>
    </row>
    <row r="34" spans="2:15" ht="14.15" customHeight="1"/>
    <row r="35" spans="2:15" ht="6" customHeight="1"/>
    <row r="36" spans="2:15" s="13" customFormat="1" ht="16" customHeight="1">
      <c r="C36" s="372" t="s">
        <v>80</v>
      </c>
      <c r="D36" s="375"/>
      <c r="E36" s="375"/>
      <c r="F36" s="375"/>
      <c r="G36" s="375"/>
      <c r="H36" s="376"/>
      <c r="J36" s="372" t="s">
        <v>75</v>
      </c>
      <c r="K36" s="375"/>
      <c r="L36" s="375"/>
      <c r="M36" s="375"/>
      <c r="N36" s="376"/>
    </row>
    <row r="37" spans="2:15" ht="3" customHeight="1">
      <c r="C37" s="382"/>
      <c r="D37" s="383"/>
      <c r="E37" s="383"/>
      <c r="F37" s="383"/>
      <c r="G37" s="383"/>
      <c r="H37" s="384"/>
      <c r="J37" s="382"/>
      <c r="K37" s="383"/>
      <c r="L37" s="383"/>
      <c r="M37" s="383"/>
      <c r="N37" s="384"/>
    </row>
    <row r="38" spans="2:15" ht="3" customHeight="1">
      <c r="C38" s="390"/>
      <c r="D38" s="391"/>
      <c r="E38" s="391"/>
      <c r="F38" s="391"/>
      <c r="G38" s="391"/>
      <c r="H38" s="392"/>
      <c r="J38" s="390"/>
      <c r="K38" s="391"/>
      <c r="L38" s="391"/>
      <c r="M38" s="391"/>
      <c r="N38" s="392"/>
    </row>
    <row r="39" spans="2:15" ht="14.15" customHeight="1">
      <c r="C39" s="512" t="s">
        <v>242</v>
      </c>
      <c r="D39" s="10" t="s">
        <v>243</v>
      </c>
      <c r="H39" s="471" t="s">
        <v>464</v>
      </c>
      <c r="J39" s="330" t="s">
        <v>247</v>
      </c>
      <c r="K39" s="23"/>
      <c r="L39" s="23"/>
      <c r="N39" s="61">
        <v>0.35</v>
      </c>
    </row>
    <row r="40" spans="2:15" ht="14.15" customHeight="1">
      <c r="C40" s="512" t="s">
        <v>242</v>
      </c>
      <c r="D40" s="24" t="s">
        <v>244</v>
      </c>
      <c r="H40" s="472">
        <v>25</v>
      </c>
      <c r="J40" s="330" t="s">
        <v>246</v>
      </c>
      <c r="K40" s="504"/>
      <c r="L40" s="504"/>
      <c r="M40" s="504"/>
      <c r="N40" s="505"/>
    </row>
    <row r="41" spans="2:15" ht="14.15" customHeight="1">
      <c r="C41" s="512" t="s">
        <v>242</v>
      </c>
      <c r="D41" s="342" t="s">
        <v>245</v>
      </c>
      <c r="E41" s="328"/>
      <c r="F41" s="328"/>
      <c r="G41" s="328"/>
      <c r="H41" s="473">
        <v>30</v>
      </c>
      <c r="J41" s="506"/>
      <c r="K41" s="507"/>
      <c r="L41" s="507"/>
      <c r="M41" s="507"/>
      <c r="N41" s="508"/>
    </row>
    <row r="42" spans="2:15" ht="15" customHeight="1">
      <c r="B42" s="11"/>
      <c r="C42" s="11"/>
      <c r="D42" s="25"/>
      <c r="E42" s="20"/>
      <c r="F42" s="20"/>
      <c r="G42" s="20"/>
      <c r="H42" s="20"/>
      <c r="I42" s="11"/>
      <c r="J42" s="11"/>
      <c r="K42" s="11"/>
      <c r="L42" s="11"/>
      <c r="M42" s="11"/>
      <c r="N42" s="11"/>
      <c r="O42" s="11"/>
    </row>
    <row r="43" spans="2:15" ht="14.15" customHeight="1">
      <c r="C43" s="26"/>
      <c r="D43" s="24"/>
      <c r="H43" s="27"/>
    </row>
    <row r="44" spans="2:15" ht="14.15" customHeight="1">
      <c r="C44" s="26"/>
      <c r="J44" s="28"/>
    </row>
    <row r="45" spans="2:15" ht="22.5" customHeight="1">
      <c r="B45" s="1" t="str">
        <f>Summary!B2</f>
        <v xml:space="preserve">Blu Containers Company </v>
      </c>
      <c r="C45" s="2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</row>
    <row r="46" spans="2:15" ht="18.75" customHeight="1">
      <c r="B46" s="4" t="s">
        <v>96</v>
      </c>
      <c r="C46" s="4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2:15" ht="3" customHeight="1" thickBot="1">
      <c r="B47" s="363"/>
      <c r="C47" s="363"/>
      <c r="D47" s="364"/>
      <c r="E47" s="364"/>
      <c r="F47" s="364"/>
      <c r="G47" s="364"/>
      <c r="H47" s="364"/>
      <c r="I47" s="364"/>
      <c r="J47" s="364"/>
      <c r="K47" s="364"/>
      <c r="L47" s="364"/>
      <c r="M47" s="364"/>
      <c r="N47" s="364"/>
      <c r="O47" s="364"/>
    </row>
    <row r="48" spans="2:15" ht="12" customHeight="1">
      <c r="C48" s="26"/>
      <c r="J48" s="28"/>
    </row>
    <row r="49" spans="3:17" s="13" customFormat="1" ht="16" customHeight="1">
      <c r="C49" s="372" t="s">
        <v>133</v>
      </c>
      <c r="D49" s="375"/>
      <c r="E49" s="375"/>
      <c r="F49" s="375"/>
      <c r="G49" s="375"/>
      <c r="H49" s="375"/>
      <c r="I49" s="375"/>
      <c r="J49" s="385">
        <f>G9</f>
        <v>2023</v>
      </c>
      <c r="K49" s="385">
        <f>J49+1</f>
        <v>2024</v>
      </c>
      <c r="L49" s="385">
        <f>K49+1</f>
        <v>2025</v>
      </c>
      <c r="M49" s="385">
        <f>L49+1</f>
        <v>2026</v>
      </c>
      <c r="N49" s="377">
        <f>M49+1</f>
        <v>2027</v>
      </c>
      <c r="Q49" s="343"/>
    </row>
    <row r="50" spans="3:17" s="13" customFormat="1" ht="3" customHeight="1">
      <c r="C50" s="382"/>
      <c r="D50" s="383"/>
      <c r="E50" s="383"/>
      <c r="F50" s="383"/>
      <c r="G50" s="383"/>
      <c r="H50" s="384"/>
      <c r="I50" s="384"/>
      <c r="J50" s="384"/>
      <c r="K50" s="384"/>
      <c r="L50" s="384"/>
      <c r="M50" s="384"/>
      <c r="N50" s="384"/>
      <c r="Q50" s="343"/>
    </row>
    <row r="51" spans="3:17" s="13" customFormat="1" ht="3" customHeight="1">
      <c r="C51" s="390"/>
      <c r="D51" s="391"/>
      <c r="E51" s="391"/>
      <c r="F51" s="391"/>
      <c r="G51" s="391"/>
      <c r="H51" s="391"/>
      <c r="I51" s="391"/>
      <c r="J51" s="391"/>
      <c r="K51" s="391"/>
      <c r="L51" s="391"/>
      <c r="M51" s="391"/>
      <c r="N51" s="392"/>
      <c r="Q51" s="343"/>
    </row>
    <row r="52" spans="3:17" ht="8.15" customHeight="1">
      <c r="C52" s="330"/>
      <c r="L52" s="28"/>
      <c r="N52" s="325"/>
    </row>
    <row r="53" spans="3:17" ht="14.15" customHeight="1">
      <c r="C53" s="344" t="s">
        <v>35</v>
      </c>
      <c r="J53" s="31"/>
      <c r="K53" s="31"/>
      <c r="L53" s="31"/>
      <c r="M53" s="31"/>
      <c r="N53" s="345"/>
      <c r="Q53" s="29"/>
    </row>
    <row r="54" spans="3:17" ht="14.15" customHeight="1">
      <c r="C54" s="344"/>
      <c r="D54" t="s">
        <v>136</v>
      </c>
      <c r="G54" t="s">
        <v>126</v>
      </c>
      <c r="J54" s="31">
        <v>0</v>
      </c>
      <c r="K54" s="31">
        <v>0</v>
      </c>
      <c r="L54" s="31">
        <v>0</v>
      </c>
      <c r="M54" s="31">
        <v>0</v>
      </c>
      <c r="N54" s="345">
        <v>0</v>
      </c>
    </row>
    <row r="55" spans="3:17" ht="6" customHeight="1">
      <c r="C55" s="330"/>
      <c r="L55" s="28"/>
      <c r="N55" s="325"/>
    </row>
    <row r="56" spans="3:17" ht="14.15" customHeight="1">
      <c r="C56" s="344" t="s">
        <v>45</v>
      </c>
      <c r="J56" s="31"/>
      <c r="K56" s="31"/>
      <c r="L56" s="31"/>
      <c r="M56" s="31"/>
      <c r="N56" s="345"/>
      <c r="Q56" s="29"/>
    </row>
    <row r="57" spans="3:17" ht="14.15" customHeight="1">
      <c r="C57" s="344"/>
      <c r="D57" t="s">
        <v>137</v>
      </c>
      <c r="G57" t="s">
        <v>126</v>
      </c>
      <c r="J57" s="31">
        <v>0</v>
      </c>
      <c r="K57" s="31">
        <v>0</v>
      </c>
      <c r="L57" s="31">
        <v>0</v>
      </c>
      <c r="M57" s="31">
        <v>0</v>
      </c>
      <c r="N57" s="345">
        <v>0</v>
      </c>
    </row>
    <row r="58" spans="3:17" ht="6" customHeight="1">
      <c r="C58" s="330"/>
      <c r="L58" s="28"/>
      <c r="N58" s="325"/>
    </row>
    <row r="59" spans="3:17" ht="14.15" customHeight="1">
      <c r="C59" s="344" t="s">
        <v>90</v>
      </c>
      <c r="G59" t="s">
        <v>126</v>
      </c>
      <c r="J59" s="31">
        <v>16</v>
      </c>
      <c r="K59" s="31">
        <v>17</v>
      </c>
      <c r="L59" s="31">
        <v>17.3</v>
      </c>
      <c r="M59" s="31">
        <v>17.5</v>
      </c>
      <c r="N59" s="345">
        <v>18</v>
      </c>
      <c r="Q59" s="29"/>
    </row>
    <row r="60" spans="3:17" ht="14.15" customHeight="1">
      <c r="C60" s="344"/>
      <c r="D60" t="s">
        <v>520</v>
      </c>
      <c r="J60" s="31">
        <v>0</v>
      </c>
      <c r="K60" s="31">
        <v>0</v>
      </c>
      <c r="L60" s="31">
        <v>0</v>
      </c>
      <c r="M60" s="31">
        <v>0</v>
      </c>
      <c r="N60" s="345">
        <v>0</v>
      </c>
      <c r="Q60" s="29"/>
    </row>
    <row r="61" spans="3:17" ht="6" customHeight="1">
      <c r="C61" s="330"/>
      <c r="L61" s="28"/>
      <c r="N61" s="325"/>
    </row>
    <row r="62" spans="3:17" ht="14.25" customHeight="1">
      <c r="C62" s="344" t="s">
        <v>144</v>
      </c>
      <c r="L62" s="28"/>
      <c r="N62" s="325"/>
    </row>
    <row r="63" spans="3:17" ht="14.25" customHeight="1">
      <c r="C63" s="330"/>
      <c r="D63" t="s">
        <v>148</v>
      </c>
      <c r="G63" t="s">
        <v>126</v>
      </c>
      <c r="J63" s="31">
        <v>5</v>
      </c>
      <c r="K63" s="31">
        <v>5</v>
      </c>
      <c r="L63" s="31">
        <v>5</v>
      </c>
      <c r="M63" s="31">
        <v>5</v>
      </c>
      <c r="N63" s="345">
        <v>5</v>
      </c>
    </row>
    <row r="64" spans="3:17" ht="6" customHeight="1">
      <c r="C64" s="330"/>
      <c r="L64" s="28"/>
      <c r="N64" s="325"/>
    </row>
    <row r="65" spans="2:15" ht="14.25" customHeight="1">
      <c r="C65" s="344" t="s">
        <v>134</v>
      </c>
      <c r="L65" s="28"/>
      <c r="N65" s="325"/>
    </row>
    <row r="66" spans="2:15" ht="14.15" customHeight="1">
      <c r="C66" s="330"/>
      <c r="D66" t="s">
        <v>248</v>
      </c>
      <c r="J66" s="469">
        <v>48</v>
      </c>
      <c r="K66" s="469">
        <v>44</v>
      </c>
      <c r="L66" s="469">
        <v>40</v>
      </c>
      <c r="M66" s="469">
        <v>40</v>
      </c>
      <c r="N66" s="470">
        <v>40</v>
      </c>
    </row>
    <row r="67" spans="2:15" ht="14.15" customHeight="1">
      <c r="C67" s="339"/>
      <c r="D67" t="s">
        <v>249</v>
      </c>
      <c r="J67" s="469">
        <v>70</v>
      </c>
      <c r="K67" s="469">
        <v>65</v>
      </c>
      <c r="L67" s="469">
        <v>60</v>
      </c>
      <c r="M67" s="469">
        <v>60</v>
      </c>
      <c r="N67" s="470">
        <v>55</v>
      </c>
    </row>
    <row r="68" spans="2:15" ht="14.15" customHeight="1">
      <c r="C68" s="339"/>
      <c r="D68" t="s">
        <v>250</v>
      </c>
      <c r="J68" s="469">
        <v>30</v>
      </c>
      <c r="K68" s="469">
        <v>30</v>
      </c>
      <c r="L68" s="469">
        <v>30</v>
      </c>
      <c r="M68" s="469">
        <v>30</v>
      </c>
      <c r="N68" s="470">
        <v>30</v>
      </c>
    </row>
    <row r="69" spans="2:15" ht="14.15" customHeight="1">
      <c r="C69" s="339"/>
      <c r="D69" t="s">
        <v>251</v>
      </c>
      <c r="J69" s="469">
        <v>3</v>
      </c>
      <c r="K69" s="469">
        <v>3</v>
      </c>
      <c r="L69" s="469">
        <v>3</v>
      </c>
      <c r="M69" s="469">
        <v>3</v>
      </c>
      <c r="N69" s="470">
        <v>3</v>
      </c>
    </row>
    <row r="70" spans="2:15" ht="14.15" customHeight="1">
      <c r="C70" s="324"/>
      <c r="D70" t="s">
        <v>20</v>
      </c>
      <c r="J70" s="469">
        <v>40</v>
      </c>
      <c r="K70" s="469">
        <v>40</v>
      </c>
      <c r="L70" s="469">
        <v>40</v>
      </c>
      <c r="M70" s="469">
        <v>40</v>
      </c>
      <c r="N70" s="470">
        <v>40</v>
      </c>
    </row>
    <row r="71" spans="2:15" ht="14.15" customHeight="1">
      <c r="C71" s="324"/>
      <c r="D71" t="s">
        <v>252</v>
      </c>
      <c r="J71" s="469">
        <v>10</v>
      </c>
      <c r="K71" s="469">
        <v>10</v>
      </c>
      <c r="L71" s="469">
        <v>10</v>
      </c>
      <c r="M71" s="469">
        <v>10</v>
      </c>
      <c r="N71" s="470">
        <v>10</v>
      </c>
    </row>
    <row r="72" spans="2:15" ht="6" customHeight="1">
      <c r="C72" s="324"/>
      <c r="N72" s="325"/>
    </row>
    <row r="73" spans="2:15" ht="14.15" customHeight="1">
      <c r="C73" s="346" t="s">
        <v>135</v>
      </c>
      <c r="N73" s="325"/>
    </row>
    <row r="74" spans="2:15" ht="14.15" customHeight="1">
      <c r="C74" s="337"/>
      <c r="D74" t="s">
        <v>156</v>
      </c>
      <c r="G74" t="s">
        <v>126</v>
      </c>
      <c r="J74" s="31">
        <v>-25</v>
      </c>
      <c r="K74" s="31">
        <v>-25</v>
      </c>
      <c r="L74" s="31">
        <v>-25</v>
      </c>
      <c r="M74" s="31">
        <v>-25</v>
      </c>
      <c r="N74" s="345">
        <v>-25</v>
      </c>
    </row>
    <row r="75" spans="2:15" ht="14.15" customHeight="1">
      <c r="C75" s="324"/>
      <c r="D75" t="s">
        <v>107</v>
      </c>
      <c r="G75" t="s">
        <v>126</v>
      </c>
      <c r="J75" s="31">
        <v>0</v>
      </c>
      <c r="K75" s="31">
        <v>0</v>
      </c>
      <c r="L75" s="31">
        <v>0</v>
      </c>
      <c r="M75" s="31">
        <v>0</v>
      </c>
      <c r="N75" s="345">
        <v>0</v>
      </c>
    </row>
    <row r="76" spans="2:15" ht="12" customHeight="1">
      <c r="C76" s="326"/>
      <c r="D76" s="328"/>
      <c r="E76" s="328"/>
      <c r="F76" s="328"/>
      <c r="G76" s="328"/>
      <c r="H76" s="328"/>
      <c r="I76" s="328"/>
      <c r="J76" s="347"/>
      <c r="K76" s="347"/>
      <c r="L76" s="347"/>
      <c r="M76" s="347"/>
      <c r="N76" s="348"/>
    </row>
    <row r="77" spans="2:15" ht="9" customHeight="1">
      <c r="B77" s="11"/>
      <c r="C77" s="11"/>
      <c r="D77" s="25"/>
      <c r="E77" s="20"/>
      <c r="F77" s="20"/>
      <c r="G77" s="20"/>
      <c r="H77" s="20"/>
      <c r="I77" s="11"/>
      <c r="J77" s="11"/>
      <c r="K77" s="11"/>
      <c r="L77" s="11"/>
      <c r="M77" s="11"/>
      <c r="N77" s="11"/>
      <c r="O77" s="11"/>
    </row>
    <row r="78" spans="2:15" ht="12.75" customHeight="1">
      <c r="D78" s="32"/>
      <c r="E78" s="3"/>
      <c r="F78" s="3"/>
      <c r="G78" s="3"/>
      <c r="H78" s="3"/>
    </row>
    <row r="79" spans="2:15">
      <c r="D79" s="28"/>
    </row>
    <row r="80" spans="2:15">
      <c r="D80" s="28"/>
    </row>
  </sheetData>
  <sheetProtection formatCells="0" formatColumns="0" formatRows="0" insertColumns="0" insertRows="0"/>
  <phoneticPr fontId="0" type="noConversion"/>
  <conditionalFormatting sqref="J351:N355">
    <cfRule type="cellIs" dxfId="2" priority="2" stopIfTrue="1" operator="greaterThan">
      <formula>330</formula>
    </cfRule>
  </conditionalFormatting>
  <conditionalFormatting sqref="N20">
    <cfRule type="cellIs" dxfId="1" priority="1" operator="greaterThan">
      <formula>0.9</formula>
    </cfRule>
  </conditionalFormatting>
  <printOptions horizontalCentered="1"/>
  <pageMargins left="0.23622047244094491" right="0.23622047244094491" top="0.35433070866141736" bottom="0.51181102362204722" header="0.23622047244094491" footer="0.23622047244094491"/>
  <pageSetup scale="95" orientation="landscape" r:id="rId1"/>
  <headerFooter alignWithMargins="0">
    <oddFooter>Page &amp;P&amp;RBlu Containers Worksheet - Intermediate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M43"/>
  <sheetViews>
    <sheetView showGridLines="0" topLeftCell="A9" zoomScale="87" zoomScaleNormal="100" zoomScaleSheetLayoutView="100" workbookViewId="0">
      <selection activeCell="G13" sqref="G13"/>
    </sheetView>
  </sheetViews>
  <sheetFormatPr defaultColWidth="10.54296875" defaultRowHeight="12.5"/>
  <cols>
    <col min="1" max="1" width="4.26953125" style="36" bestFit="1" customWidth="1"/>
    <col min="2" max="2" width="1.54296875" style="36" customWidth="1"/>
    <col min="3" max="3" width="18.54296875" style="36" customWidth="1"/>
    <col min="4" max="4" width="11.54296875" style="57" customWidth="1"/>
    <col min="5" max="5" width="1.54296875" style="57" customWidth="1"/>
    <col min="6" max="6" width="6.7265625" style="36" customWidth="1"/>
    <col min="7" max="11" width="12.7265625" style="36" customWidth="1"/>
    <col min="12" max="12" width="13.54296875" style="36" customWidth="1"/>
    <col min="13" max="13" width="10.453125" style="36" customWidth="1"/>
    <col min="14" max="17" width="13.54296875" style="36" customWidth="1"/>
    <col min="18" max="16384" width="10.54296875" style="36"/>
  </cols>
  <sheetData>
    <row r="2" spans="1:11" s="33" customFormat="1" ht="22.75" customHeight="1">
      <c r="B2" s="34" t="str">
        <f>Assumptions!B2</f>
        <v xml:space="preserve">Blu Containers Company </v>
      </c>
      <c r="C2" s="35"/>
      <c r="D2" s="35"/>
      <c r="E2" s="35"/>
      <c r="F2" s="35"/>
      <c r="G2" s="35"/>
      <c r="H2" s="35"/>
      <c r="I2" s="35"/>
      <c r="J2" s="35"/>
      <c r="K2" s="35"/>
    </row>
    <row r="3" spans="1:11" ht="18">
      <c r="B3" s="37" t="s">
        <v>159</v>
      </c>
      <c r="C3" s="37"/>
      <c r="D3" s="37"/>
      <c r="E3" s="37"/>
      <c r="F3" s="37"/>
      <c r="G3" s="37"/>
      <c r="H3" s="37"/>
      <c r="I3" s="37"/>
      <c r="J3" s="37"/>
      <c r="K3" s="37"/>
    </row>
    <row r="4" spans="1:11" ht="3" customHeight="1" thickBot="1">
      <c r="B4" s="361"/>
      <c r="C4" s="361"/>
      <c r="D4" s="362"/>
      <c r="E4" s="362"/>
      <c r="F4" s="361"/>
      <c r="G4" s="361"/>
      <c r="H4" s="361"/>
      <c r="I4" s="361"/>
      <c r="J4" s="361"/>
      <c r="K4" s="361"/>
    </row>
    <row r="5" spans="1:11" ht="12.75" customHeight="1">
      <c r="C5" s="38"/>
      <c r="D5" s="39"/>
      <c r="E5" s="39"/>
      <c r="F5" s="38"/>
    </row>
    <row r="6" spans="1:11" ht="6" customHeight="1">
      <c r="B6" s="40"/>
      <c r="C6" s="41"/>
      <c r="E6" s="42"/>
      <c r="G6" s="43"/>
      <c r="H6" s="43"/>
      <c r="I6" s="43"/>
      <c r="J6" s="43"/>
      <c r="K6" s="43"/>
    </row>
    <row r="7" spans="1:11" ht="16.149999999999999" customHeight="1">
      <c r="B7" s="44" t="s">
        <v>88</v>
      </c>
      <c r="C7" s="45"/>
      <c r="D7" s="46">
        <v>1</v>
      </c>
      <c r="E7" s="47"/>
      <c r="F7" s="45"/>
      <c r="G7" s="354">
        <f>Assumptions!G9</f>
        <v>2023</v>
      </c>
      <c r="H7" s="354">
        <f>G7+1</f>
        <v>2024</v>
      </c>
      <c r="I7" s="354">
        <f>H7+1</f>
        <v>2025</v>
      </c>
      <c r="J7" s="354">
        <f>I7+1</f>
        <v>2026</v>
      </c>
      <c r="K7" s="354">
        <f>J7+1</f>
        <v>2027</v>
      </c>
    </row>
    <row r="8" spans="1:11" ht="6" customHeight="1">
      <c r="B8" s="49"/>
      <c r="C8" s="50"/>
      <c r="D8" s="51"/>
      <c r="E8" s="52"/>
      <c r="F8" s="45"/>
      <c r="G8" s="48"/>
      <c r="H8" s="48"/>
      <c r="I8" s="53"/>
      <c r="J8" s="53"/>
      <c r="K8" s="48"/>
    </row>
    <row r="9" spans="1:11" ht="13">
      <c r="B9" s="45"/>
      <c r="C9" s="45"/>
      <c r="D9" s="54"/>
      <c r="E9" s="54"/>
      <c r="F9" s="45"/>
      <c r="G9" s="48"/>
      <c r="H9" s="48"/>
      <c r="I9" s="53"/>
      <c r="J9" s="53"/>
      <c r="K9" s="48"/>
    </row>
    <row r="10" spans="1:11" ht="13">
      <c r="B10" s="45"/>
      <c r="C10" s="45"/>
      <c r="D10" s="54"/>
      <c r="E10" s="54"/>
      <c r="F10" s="45"/>
      <c r="G10" s="48"/>
      <c r="H10" s="48"/>
      <c r="I10" s="53"/>
      <c r="J10" s="53"/>
      <c r="K10" s="48"/>
    </row>
    <row r="11" spans="1:11" ht="15.5">
      <c r="A11" s="55"/>
      <c r="B11" s="56" t="s">
        <v>81</v>
      </c>
    </row>
    <row r="12" spans="1:11" ht="12.75" customHeight="1"/>
    <row r="13" spans="1:11" ht="16.149999999999999" customHeight="1">
      <c r="B13" s="58" t="s">
        <v>87</v>
      </c>
      <c r="D13" s="54" t="s">
        <v>267</v>
      </c>
      <c r="E13" s="59"/>
      <c r="G13" s="515" cm="1">
        <f t="array" ref="G13">INDEX(G15:G17,$D$7,0)</f>
        <v>0.02</v>
      </c>
      <c r="H13" s="515" cm="1">
        <f t="array" ref="H13">INDEX(H15:H17,$D$7,0)</f>
        <v>0.02</v>
      </c>
      <c r="I13" s="515" cm="1">
        <f t="array" ref="I13">INDEX(I15:I17,$D$7,0)</f>
        <v>0.02</v>
      </c>
      <c r="J13" s="515" cm="1">
        <f t="array" ref="J13">INDEX(J15:J17,$D$7,0)</f>
        <v>2.5000000000000001E-2</v>
      </c>
      <c r="K13" s="515" cm="1">
        <f t="array" ref="K13">INDEX(K15:K17,$D$7,0)</f>
        <v>2.5000000000000001E-2</v>
      </c>
    </row>
    <row r="14" spans="1:11" ht="4.4000000000000004" customHeight="1">
      <c r="B14" s="60"/>
      <c r="D14" s="59"/>
      <c r="E14" s="59"/>
      <c r="G14" s="61"/>
      <c r="H14" s="62"/>
      <c r="I14" s="62"/>
      <c r="J14" s="62"/>
      <c r="K14" s="62"/>
    </row>
    <row r="15" spans="1:11" ht="13">
      <c r="B15" s="60"/>
      <c r="C15" s="36" t="str">
        <f>Assumptions!C19</f>
        <v>Base Case</v>
      </c>
      <c r="E15" s="59"/>
      <c r="G15" s="63">
        <v>0.02</v>
      </c>
      <c r="H15" s="64">
        <v>0.02</v>
      </c>
      <c r="I15" s="64">
        <v>0.02</v>
      </c>
      <c r="J15" s="64">
        <v>2.5000000000000001E-2</v>
      </c>
      <c r="K15" s="65">
        <v>2.5000000000000001E-2</v>
      </c>
    </row>
    <row r="16" spans="1:11" ht="13">
      <c r="B16" s="60"/>
      <c r="C16" s="36" t="str">
        <f>Assumptions!C20</f>
        <v>Best Case</v>
      </c>
      <c r="D16" s="59"/>
      <c r="E16" s="59"/>
      <c r="G16" s="66">
        <v>1.7999999999999999E-2</v>
      </c>
      <c r="H16" s="67">
        <v>1.7999999999999999E-2</v>
      </c>
      <c r="I16" s="67">
        <v>1.7999999999999999E-2</v>
      </c>
      <c r="J16" s="67">
        <v>0.02</v>
      </c>
      <c r="K16" s="68">
        <v>0.02</v>
      </c>
    </row>
    <row r="17" spans="1:13" ht="13">
      <c r="B17" s="60"/>
      <c r="C17" s="36" t="str">
        <f>Assumptions!C21</f>
        <v>Worst Case</v>
      </c>
      <c r="D17" s="59"/>
      <c r="E17" s="59"/>
      <c r="G17" s="69">
        <v>2.5000000000000001E-2</v>
      </c>
      <c r="H17" s="70">
        <v>2.5000000000000001E-2</v>
      </c>
      <c r="I17" s="70">
        <v>2.5000000000000001E-2</v>
      </c>
      <c r="J17" s="70">
        <v>2.5000000000000001E-2</v>
      </c>
      <c r="K17" s="71">
        <v>2.5000000000000001E-2</v>
      </c>
    </row>
    <row r="18" spans="1:13">
      <c r="C18" s="72"/>
      <c r="D18" s="73"/>
      <c r="E18" s="73"/>
      <c r="G18" s="74"/>
      <c r="H18" s="74"/>
      <c r="I18" s="74"/>
      <c r="J18" s="74"/>
      <c r="K18" s="75"/>
    </row>
    <row r="19" spans="1:13">
      <c r="B19" s="76"/>
      <c r="C19" s="76"/>
      <c r="D19" s="77"/>
      <c r="E19" s="77"/>
      <c r="F19" s="76"/>
      <c r="G19" s="76"/>
      <c r="H19" s="76"/>
      <c r="I19" s="76"/>
      <c r="J19" s="76"/>
      <c r="K19" s="76"/>
    </row>
    <row r="21" spans="1:13" ht="12.75" customHeight="1"/>
    <row r="22" spans="1:13" ht="12.75" customHeight="1">
      <c r="B22" s="56" t="s">
        <v>97</v>
      </c>
    </row>
    <row r="23" spans="1:13" ht="12.75" customHeight="1"/>
    <row r="24" spans="1:13" s="78" customFormat="1" ht="16.149999999999999" customHeight="1">
      <c r="B24" s="58" t="s">
        <v>141</v>
      </c>
      <c r="D24" s="46"/>
      <c r="E24" s="46"/>
      <c r="G24" s="462" cm="1">
        <f t="array" ref="G24">INDEX(G26:G28,$D$7,0)</f>
        <v>800</v>
      </c>
      <c r="H24" s="462" cm="1">
        <f t="array" ref="H24">INDEX(H26:H28,$D$7,0)</f>
        <v>725</v>
      </c>
      <c r="I24" s="462" cm="1">
        <f t="array" ref="I24">INDEX(I26:I28,$D$7,0)</f>
        <v>825</v>
      </c>
      <c r="J24" s="462" cm="1">
        <f t="array" ref="J24">INDEX(J26:J28,$D$7,0)</f>
        <v>800</v>
      </c>
      <c r="K24" s="462" cm="1">
        <f t="array" ref="K24">INDEX(K26:K28,$D$7,0)</f>
        <v>750</v>
      </c>
    </row>
    <row r="25" spans="1:13" ht="4.4000000000000004" customHeight="1">
      <c r="B25" s="79"/>
      <c r="D25" s="59"/>
      <c r="E25" s="59"/>
      <c r="G25" s="80"/>
      <c r="H25" s="80"/>
      <c r="I25" s="80"/>
      <c r="J25" s="80"/>
      <c r="K25" s="80"/>
    </row>
    <row r="26" spans="1:13">
      <c r="C26" s="72" t="str">
        <f>C15</f>
        <v>Base Case</v>
      </c>
      <c r="D26" s="73"/>
      <c r="E26" s="73"/>
      <c r="G26" s="463">
        <v>800</v>
      </c>
      <c r="H26" s="464">
        <v>725</v>
      </c>
      <c r="I26" s="464">
        <v>825</v>
      </c>
      <c r="J26" s="464">
        <v>800</v>
      </c>
      <c r="K26" s="465">
        <v>750</v>
      </c>
      <c r="L26" s="81"/>
      <c r="M26" s="82"/>
    </row>
    <row r="27" spans="1:13">
      <c r="A27" s="289">
        <f>Assumptions!F20</f>
        <v>0.04</v>
      </c>
      <c r="C27" s="72" t="s">
        <v>253</v>
      </c>
      <c r="D27" s="73"/>
      <c r="E27" s="73"/>
      <c r="G27" s="466">
        <f>G26*1.04</f>
        <v>832</v>
      </c>
      <c r="H27" s="466">
        <f t="shared" ref="H27:K27" si="0">H26*1.04</f>
        <v>754</v>
      </c>
      <c r="I27" s="466">
        <f t="shared" si="0"/>
        <v>858</v>
      </c>
      <c r="J27" s="466">
        <f t="shared" si="0"/>
        <v>832</v>
      </c>
      <c r="K27" s="466">
        <f t="shared" si="0"/>
        <v>780</v>
      </c>
      <c r="L27" s="81"/>
      <c r="M27" s="82"/>
    </row>
    <row r="28" spans="1:13">
      <c r="A28" s="289">
        <f>Assumptions!F21</f>
        <v>-0.04</v>
      </c>
      <c r="C28" s="72" t="s">
        <v>57</v>
      </c>
      <c r="D28" s="73"/>
      <c r="E28" s="73"/>
      <c r="G28" s="467">
        <f>G26*0.96</f>
        <v>768</v>
      </c>
      <c r="H28" s="467">
        <f t="shared" ref="H28:K28" si="1">H26*0.96</f>
        <v>696</v>
      </c>
      <c r="I28" s="467">
        <f t="shared" si="1"/>
        <v>792</v>
      </c>
      <c r="J28" s="467">
        <f t="shared" si="1"/>
        <v>768</v>
      </c>
      <c r="K28" s="467">
        <f t="shared" si="1"/>
        <v>720</v>
      </c>
      <c r="L28" s="81"/>
      <c r="M28" s="82"/>
    </row>
    <row r="29" spans="1:13">
      <c r="C29" s="83"/>
      <c r="D29" s="73"/>
      <c r="E29" s="73"/>
      <c r="G29" s="84"/>
      <c r="H29" s="84"/>
      <c r="I29" s="84"/>
      <c r="J29" s="84"/>
      <c r="K29" s="85"/>
      <c r="L29" s="81"/>
    </row>
    <row r="30" spans="1:13">
      <c r="C30" s="83"/>
      <c r="D30" s="73"/>
      <c r="E30" s="73"/>
      <c r="G30" s="84"/>
      <c r="H30" s="84"/>
      <c r="I30" s="84"/>
      <c r="J30" s="84"/>
      <c r="K30" s="85"/>
      <c r="L30" s="81"/>
    </row>
    <row r="31" spans="1:13" ht="16.149999999999999" customHeight="1">
      <c r="B31" s="58" t="s">
        <v>98</v>
      </c>
      <c r="D31" s="59"/>
      <c r="E31" s="59"/>
      <c r="G31" s="514" cm="1">
        <f t="array" ref="G31">INDEX(G33:G35,$D$7,0)</f>
        <v>0.05</v>
      </c>
      <c r="H31" s="514" cm="1">
        <f t="array" ref="H31">INDEX(H33:H35,$D$7,0)</f>
        <v>0.04</v>
      </c>
      <c r="I31" s="514" cm="1">
        <f t="array" ref="I31">INDEX(I33:I35,$D$7,0)</f>
        <v>0.04</v>
      </c>
      <c r="J31" s="514" cm="1">
        <f t="array" ref="J31">INDEX(J33:J35,$D$7,0)</f>
        <v>0.04</v>
      </c>
      <c r="K31" s="514" cm="1">
        <f t="array" ref="K31">INDEX(K33:K35,$D$7,0)</f>
        <v>0.04</v>
      </c>
    </row>
    <row r="32" spans="1:13" ht="4.4000000000000004" customHeight="1">
      <c r="B32" s="60"/>
      <c r="D32" s="59"/>
      <c r="E32" s="59"/>
      <c r="G32" s="61"/>
      <c r="H32" s="62"/>
      <c r="I32" s="62"/>
      <c r="J32" s="62"/>
      <c r="K32" s="62"/>
    </row>
    <row r="33" spans="2:12" ht="13">
      <c r="B33" s="60"/>
      <c r="C33" s="36" t="str">
        <f>C15</f>
        <v>Base Case</v>
      </c>
      <c r="D33" s="59"/>
      <c r="E33" s="59"/>
      <c r="G33" s="63">
        <v>0.05</v>
      </c>
      <c r="H33" s="64">
        <v>0.04</v>
      </c>
      <c r="I33" s="64">
        <v>0.04</v>
      </c>
      <c r="J33" s="64">
        <v>0.04</v>
      </c>
      <c r="K33" s="65">
        <v>0.04</v>
      </c>
    </row>
    <row r="34" spans="2:12" ht="13">
      <c r="B34" s="60"/>
      <c r="C34" s="36" t="str">
        <f>C16</f>
        <v>Best Case</v>
      </c>
      <c r="D34" s="59"/>
      <c r="E34" s="59"/>
      <c r="G34" s="66">
        <v>0.05</v>
      </c>
      <c r="H34" s="67">
        <v>0.04</v>
      </c>
      <c r="I34" s="67">
        <v>0.05</v>
      </c>
      <c r="J34" s="67">
        <v>0.04</v>
      </c>
      <c r="K34" s="68">
        <v>0.04</v>
      </c>
    </row>
    <row r="35" spans="2:12" ht="13">
      <c r="B35" s="60"/>
      <c r="C35" s="36" t="str">
        <f>C17</f>
        <v>Worst Case</v>
      </c>
      <c r="D35" s="59"/>
      <c r="E35" s="59"/>
      <c r="G35" s="69">
        <v>0.04</v>
      </c>
      <c r="H35" s="70">
        <v>0.04</v>
      </c>
      <c r="I35" s="70">
        <v>0.03</v>
      </c>
      <c r="J35" s="70">
        <v>0.03</v>
      </c>
      <c r="K35" s="71">
        <v>0.02</v>
      </c>
    </row>
    <row r="36" spans="2:12">
      <c r="C36" s="83"/>
      <c r="D36" s="73"/>
      <c r="E36" s="73"/>
      <c r="G36" s="84"/>
      <c r="H36" s="84"/>
      <c r="I36" s="84"/>
      <c r="J36" s="84"/>
      <c r="K36" s="85"/>
      <c r="L36" s="81"/>
    </row>
    <row r="37" spans="2:12">
      <c r="B37" s="86"/>
      <c r="C37" s="86"/>
      <c r="D37" s="87"/>
      <c r="E37" s="87"/>
      <c r="F37" s="86"/>
      <c r="G37" s="86"/>
      <c r="H37" s="86"/>
      <c r="I37" s="86"/>
      <c r="J37" s="86"/>
      <c r="K37" s="86"/>
    </row>
    <row r="40" spans="2:12" ht="13">
      <c r="C40" s="45"/>
      <c r="D40" s="59"/>
      <c r="E40" s="59"/>
      <c r="G40" s="88"/>
    </row>
    <row r="41" spans="2:12">
      <c r="D41" s="73"/>
      <c r="E41" s="73"/>
      <c r="H41" s="82"/>
      <c r="I41" s="82"/>
    </row>
    <row r="42" spans="2:12">
      <c r="D42" s="73"/>
      <c r="E42" s="73"/>
    </row>
    <row r="43" spans="2:12">
      <c r="G43" s="88"/>
    </row>
  </sheetData>
  <sheetProtection formatCells="0" formatColumns="0" formatRows="0" insertColumns="0" insertRows="0"/>
  <phoneticPr fontId="0" type="noConversion"/>
  <conditionalFormatting sqref="J349:M353">
    <cfRule type="cellIs" dxfId="0" priority="1" stopIfTrue="1" operator="greaterThan">
      <formula>330</formula>
    </cfRule>
  </conditionalFormatting>
  <printOptions horizontalCentered="1"/>
  <pageMargins left="0.25" right="0.25" top="0.35" bottom="0.5" header="0.25" footer="0.25"/>
  <pageSetup scale="9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2</xdr:col>
                    <xdr:colOff>1250950</xdr:colOff>
                    <xdr:row>5</xdr:row>
                    <xdr:rowOff>0</xdr:rowOff>
                  </from>
                  <to>
                    <xdr:col>5</xdr:col>
                    <xdr:colOff>6350</xdr:colOff>
                    <xdr:row>7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II353"/>
  <sheetViews>
    <sheetView showGridLines="0" tabSelected="1" topLeftCell="A251" zoomScale="70" zoomScaleNormal="70" zoomScaleSheetLayoutView="90" workbookViewId="0">
      <selection activeCell="H256" sqref="H256"/>
    </sheetView>
  </sheetViews>
  <sheetFormatPr defaultColWidth="9.453125" defaultRowHeight="12.5"/>
  <cols>
    <col min="1" max="1" width="3.54296875" customWidth="1"/>
    <col min="2" max="2" width="1.81640625" customWidth="1"/>
    <col min="3" max="3" width="2.453125" customWidth="1"/>
    <col min="4" max="4" width="11.453125" customWidth="1"/>
    <col min="5" max="5" width="12.54296875" customWidth="1"/>
    <col min="6" max="6" width="10.453125" style="96" customWidth="1"/>
    <col min="7" max="7" width="4" customWidth="1"/>
    <col min="8" max="15" width="10.7265625" customWidth="1"/>
    <col min="16" max="16" width="9.453125" customWidth="1"/>
  </cols>
  <sheetData>
    <row r="1" spans="1:15" ht="20" customHeight="1">
      <c r="A1" s="89"/>
      <c r="B1" s="2"/>
      <c r="C1" s="3"/>
      <c r="D1" s="3"/>
      <c r="E1" s="3"/>
      <c r="F1" s="90"/>
      <c r="G1" s="3"/>
      <c r="H1" s="3"/>
      <c r="I1" s="3"/>
      <c r="J1" s="3"/>
      <c r="K1" s="3"/>
      <c r="L1" s="555"/>
      <c r="M1" s="554" t="str">
        <f xml:space="preserve"> UPPER(" Currently Running: "&amp; CHOOSE(Scenarios!D7,Scenarios!C15,Scenarios!C16,Scenarios!C17) &amp; " Scenario")</f>
        <v xml:space="preserve"> CURRENTLY RUNNING: BASE CASE SCENARIO</v>
      </c>
      <c r="N1" s="553"/>
      <c r="O1" s="556"/>
    </row>
    <row r="2" spans="1:15" ht="23">
      <c r="A2" s="91"/>
      <c r="B2" s="1" t="str">
        <f>Scenarios!B2</f>
        <v xml:space="preserve">Blu Containers Company </v>
      </c>
      <c r="C2" s="3"/>
      <c r="D2" s="3"/>
      <c r="E2" s="3"/>
      <c r="F2" s="90"/>
      <c r="G2" s="3"/>
      <c r="H2" s="3"/>
      <c r="I2" s="3"/>
      <c r="J2" s="3"/>
      <c r="K2" s="3"/>
      <c r="L2" s="3"/>
      <c r="M2" s="3"/>
      <c r="N2" s="3"/>
      <c r="O2" s="3"/>
    </row>
    <row r="3" spans="1:15" ht="18">
      <c r="A3" s="92"/>
      <c r="B3" s="93" t="s">
        <v>89</v>
      </c>
      <c r="C3" s="94"/>
      <c r="D3" s="94"/>
      <c r="E3" s="94"/>
      <c r="F3" s="95"/>
      <c r="G3" s="94"/>
      <c r="H3" s="94"/>
      <c r="I3" s="94"/>
      <c r="J3" s="94"/>
      <c r="K3" s="94"/>
      <c r="L3" s="94"/>
      <c r="M3" s="94"/>
      <c r="N3" s="94"/>
      <c r="O3" s="94"/>
    </row>
    <row r="4" spans="1:15" ht="3" customHeight="1" thickBot="1">
      <c r="A4" s="92"/>
      <c r="B4" s="358"/>
      <c r="C4" s="359"/>
      <c r="D4" s="359"/>
      <c r="E4" s="359"/>
      <c r="F4" s="360"/>
      <c r="G4" s="359"/>
      <c r="H4" s="359"/>
      <c r="I4" s="359"/>
      <c r="J4" s="359"/>
      <c r="K4" s="359"/>
      <c r="L4" s="359"/>
      <c r="M4" s="359"/>
      <c r="N4" s="359"/>
      <c r="O4" s="359"/>
    </row>
    <row r="5" spans="1:15" ht="12.75" customHeight="1">
      <c r="A5" s="93"/>
      <c r="B5" s="94"/>
      <c r="C5" s="94"/>
      <c r="D5" s="94"/>
      <c r="E5" s="94"/>
      <c r="F5" s="95"/>
      <c r="G5" s="94"/>
      <c r="H5" s="94"/>
      <c r="I5" s="94"/>
      <c r="J5" s="94"/>
      <c r="K5" s="94"/>
      <c r="L5" s="94"/>
      <c r="M5" s="94"/>
      <c r="N5" s="94"/>
      <c r="O5" s="94"/>
    </row>
    <row r="6" spans="1:15" ht="13">
      <c r="G6" s="97"/>
      <c r="K6" s="98" t="s">
        <v>2</v>
      </c>
      <c r="L6" s="20"/>
      <c r="M6" s="20"/>
      <c r="N6" s="20"/>
      <c r="O6" s="20"/>
    </row>
    <row r="7" spans="1:15" ht="13">
      <c r="F7" s="145" t="s">
        <v>292</v>
      </c>
      <c r="G7" s="21"/>
      <c r="H7" s="349">
        <f>I7-1</f>
        <v>2020</v>
      </c>
      <c r="I7" s="349">
        <f>J7-1</f>
        <v>2021</v>
      </c>
      <c r="J7" s="349">
        <f>K7-1</f>
        <v>2022</v>
      </c>
      <c r="K7" s="118">
        <f>Scenarios!G7</f>
        <v>2023</v>
      </c>
      <c r="L7" s="118">
        <f>Scenarios!H7</f>
        <v>2024</v>
      </c>
      <c r="M7" s="118">
        <f>Scenarios!I7</f>
        <v>2025</v>
      </c>
      <c r="N7" s="118">
        <f>Scenarios!J7</f>
        <v>2026</v>
      </c>
      <c r="O7" s="118">
        <f>Scenarios!K7</f>
        <v>2027</v>
      </c>
    </row>
    <row r="8" spans="1:15" ht="12.75" customHeight="1">
      <c r="H8" s="99"/>
      <c r="I8" s="99"/>
      <c r="J8" s="99"/>
    </row>
    <row r="9" spans="1:15" ht="13">
      <c r="B9" s="100" t="s">
        <v>1</v>
      </c>
      <c r="F9" s="101"/>
      <c r="H9" s="99"/>
      <c r="I9" s="99"/>
      <c r="J9" s="99"/>
      <c r="K9" s="163"/>
    </row>
    <row r="10" spans="1:15">
      <c r="C10" s="10" t="s">
        <v>59</v>
      </c>
      <c r="F10" s="102" t="s">
        <v>142</v>
      </c>
      <c r="H10" s="103"/>
      <c r="I10" s="103"/>
      <c r="J10" s="104">
        <v>694.4</v>
      </c>
      <c r="K10" s="458" cm="1">
        <f t="array" ref="K10:O10">Scenarios!G24:K24</f>
        <v>800</v>
      </c>
      <c r="L10" s="458">
        <v>725</v>
      </c>
      <c r="M10" s="458">
        <v>825</v>
      </c>
      <c r="N10" s="458">
        <v>800</v>
      </c>
      <c r="O10" s="458">
        <v>750</v>
      </c>
    </row>
    <row r="11" spans="1:15" ht="13">
      <c r="C11" t="s">
        <v>87</v>
      </c>
      <c r="F11" s="101" t="s">
        <v>99</v>
      </c>
      <c r="H11" s="105"/>
      <c r="I11" s="106"/>
      <c r="J11" s="106"/>
      <c r="K11" s="460" cm="1">
        <f t="array" ref="K11:O11">Scenarios!G13:K13</f>
        <v>0.02</v>
      </c>
      <c r="L11" s="460">
        <v>0.02</v>
      </c>
      <c r="M11" s="460">
        <v>0.02</v>
      </c>
      <c r="N11" s="460">
        <v>2.5000000000000001E-2</v>
      </c>
      <c r="O11" s="460">
        <v>2.5000000000000001E-2</v>
      </c>
    </row>
    <row r="12" spans="1:15">
      <c r="C12" s="19" t="s">
        <v>49</v>
      </c>
      <c r="F12" s="102" t="s">
        <v>142</v>
      </c>
      <c r="H12" s="107"/>
      <c r="I12" s="107"/>
      <c r="J12" s="107">
        <v>100</v>
      </c>
      <c r="K12" s="459">
        <f>J12*(1+K11)</f>
        <v>102</v>
      </c>
      <c r="L12" s="459">
        <f>K12*(1+L11)</f>
        <v>104.04</v>
      </c>
      <c r="M12" s="459">
        <f t="shared" ref="M12:O12" si="0">L12*(1+M11)</f>
        <v>106.1208</v>
      </c>
      <c r="N12" s="459">
        <f t="shared" si="0"/>
        <v>108.77381999999999</v>
      </c>
      <c r="O12" s="459">
        <f t="shared" si="0"/>
        <v>111.49316549999998</v>
      </c>
    </row>
    <row r="13" spans="1:15" ht="13">
      <c r="C13" s="108" t="s">
        <v>61</v>
      </c>
      <c r="F13" s="109" t="s">
        <v>142</v>
      </c>
      <c r="H13" s="110"/>
      <c r="I13" s="110"/>
      <c r="J13" s="530">
        <f t="shared" ref="J13" si="1">J10-J12</f>
        <v>594.4</v>
      </c>
      <c r="K13" s="530">
        <f>K10-K12</f>
        <v>698</v>
      </c>
      <c r="L13" s="530">
        <f t="shared" ref="L13:O13" si="2">L10-L12</f>
        <v>620.96</v>
      </c>
      <c r="M13" s="530">
        <f t="shared" si="2"/>
        <v>718.87919999999997</v>
      </c>
      <c r="N13" s="530">
        <f t="shared" si="2"/>
        <v>691.22618</v>
      </c>
      <c r="O13" s="530">
        <f t="shared" si="2"/>
        <v>638.50683449999997</v>
      </c>
    </row>
    <row r="14" spans="1:15" ht="13">
      <c r="B14" s="111"/>
      <c r="C14" s="112"/>
      <c r="D14" s="111"/>
      <c r="E14" s="111"/>
      <c r="F14" s="113"/>
      <c r="G14" s="111"/>
      <c r="H14" s="114"/>
      <c r="I14" s="114"/>
      <c r="J14" s="114"/>
      <c r="K14" s="115"/>
      <c r="L14" s="115"/>
      <c r="M14" s="115"/>
      <c r="N14" s="115"/>
      <c r="O14" s="115"/>
    </row>
    <row r="15" spans="1:15" ht="13">
      <c r="C15" s="100"/>
      <c r="F15" s="109"/>
      <c r="H15" s="116"/>
      <c r="I15" s="116"/>
      <c r="J15" s="116"/>
      <c r="K15" s="117"/>
      <c r="L15" s="117"/>
      <c r="M15" s="117"/>
      <c r="N15" s="117"/>
      <c r="O15" s="117"/>
    </row>
    <row r="16" spans="1:15" ht="13">
      <c r="B16" s="108" t="s">
        <v>100</v>
      </c>
      <c r="F16" s="101"/>
      <c r="J16" t="s">
        <v>323</v>
      </c>
    </row>
    <row r="17" spans="1:15" ht="13">
      <c r="B17" s="108"/>
      <c r="D17" t="s">
        <v>312</v>
      </c>
      <c r="F17" s="101" t="s">
        <v>317</v>
      </c>
      <c r="H17" s="104"/>
      <c r="I17" s="104"/>
      <c r="J17" s="104"/>
      <c r="K17" s="458">
        <f>Assumptions!$N$18</f>
        <v>420</v>
      </c>
      <c r="L17" s="458">
        <f>Assumptions!$N$18</f>
        <v>420</v>
      </c>
      <c r="M17" s="458">
        <f>Assumptions!$N$18</f>
        <v>420</v>
      </c>
      <c r="N17" s="458">
        <f>Assumptions!$N$18</f>
        <v>420</v>
      </c>
      <c r="O17" s="458">
        <f>Assumptions!$N$18</f>
        <v>420</v>
      </c>
    </row>
    <row r="18" spans="1:15" ht="13">
      <c r="B18" s="108"/>
      <c r="F18" s="101"/>
    </row>
    <row r="19" spans="1:15" ht="13">
      <c r="D19" t="s">
        <v>319</v>
      </c>
      <c r="F19" s="101" t="s">
        <v>320</v>
      </c>
      <c r="H19" s="105"/>
      <c r="I19" s="106"/>
      <c r="K19" s="587">
        <f>Scenarios!G31</f>
        <v>0.05</v>
      </c>
      <c r="L19" s="587">
        <f>Scenarios!H31</f>
        <v>0.04</v>
      </c>
      <c r="M19" s="587">
        <f>Scenarios!I31</f>
        <v>0.04</v>
      </c>
      <c r="N19" s="587">
        <f>Scenarios!J31</f>
        <v>0.04</v>
      </c>
      <c r="O19" s="587">
        <f>Scenarios!K31</f>
        <v>0.04</v>
      </c>
    </row>
    <row r="20" spans="1:15" ht="13">
      <c r="C20" s="118" t="s">
        <v>101</v>
      </c>
      <c r="F20" s="119" t="s">
        <v>321</v>
      </c>
      <c r="H20" s="120"/>
      <c r="I20" s="120"/>
      <c r="J20" s="531">
        <f>J83*1000/ J10</f>
        <v>344.4700460829493</v>
      </c>
      <c r="K20" s="530">
        <f>MIN(J20*(1+K19),K17)</f>
        <v>361.69354838709677</v>
      </c>
      <c r="L20" s="530">
        <f t="shared" ref="L20:O20" si="3">MIN(K20*(1+L19),L17)</f>
        <v>376.16129032258067</v>
      </c>
      <c r="M20" s="530">
        <f t="shared" si="3"/>
        <v>391.20774193548391</v>
      </c>
      <c r="N20" s="530">
        <f t="shared" si="3"/>
        <v>406.85605161290329</v>
      </c>
      <c r="O20" s="530">
        <f t="shared" si="3"/>
        <v>420</v>
      </c>
    </row>
    <row r="21" spans="1:15" ht="6" customHeight="1">
      <c r="C21" s="118"/>
      <c r="F21" s="119"/>
      <c r="H21" s="117"/>
      <c r="I21" s="117"/>
      <c r="J21" s="117"/>
      <c r="K21" s="461"/>
      <c r="L21" s="461"/>
      <c r="M21" s="461"/>
      <c r="N21" s="461"/>
      <c r="O21" s="461"/>
    </row>
    <row r="22" spans="1:15">
      <c r="C22" t="s">
        <v>50</v>
      </c>
      <c r="F22" s="119"/>
      <c r="H22" s="121"/>
      <c r="I22" s="121"/>
      <c r="J22" s="121"/>
      <c r="K22" s="121">
        <f>K20/K17</f>
        <v>0.86117511520737322</v>
      </c>
      <c r="L22" s="121">
        <f t="shared" ref="L22:O22" si="4">L20/L17</f>
        <v>0.8956221198156683</v>
      </c>
      <c r="M22" s="121">
        <f t="shared" si="4"/>
        <v>0.93144700460829499</v>
      </c>
      <c r="N22" s="121">
        <f t="shared" si="4"/>
        <v>0.96870488479262684</v>
      </c>
      <c r="O22" s="121">
        <f t="shared" si="4"/>
        <v>1</v>
      </c>
    </row>
    <row r="23" spans="1:15" ht="12.75" customHeight="1">
      <c r="B23" s="111"/>
      <c r="C23" s="111"/>
      <c r="D23" s="111"/>
      <c r="E23" s="111"/>
      <c r="F23" s="122"/>
      <c r="G23" s="111"/>
      <c r="H23" s="111"/>
      <c r="I23" s="111"/>
      <c r="J23" s="111"/>
      <c r="K23" s="111"/>
      <c r="L23" s="111"/>
      <c r="M23" s="111"/>
      <c r="N23" s="111"/>
      <c r="O23" s="111"/>
    </row>
    <row r="24" spans="1:15" ht="12.75" customHeight="1">
      <c r="F24" s="101"/>
    </row>
    <row r="25" spans="1:15" ht="13">
      <c r="B25" s="549" t="s">
        <v>41</v>
      </c>
      <c r="C25" s="261"/>
      <c r="D25" s="261"/>
      <c r="E25" s="261"/>
      <c r="F25" s="550" t="s">
        <v>322</v>
      </c>
      <c r="G25" s="261"/>
      <c r="H25" s="261"/>
      <c r="I25" s="261"/>
      <c r="J25" s="261"/>
      <c r="K25" s="551">
        <f>K20*K13/1000</f>
        <v>252.46209677419355</v>
      </c>
      <c r="L25" s="551">
        <f t="shared" ref="L25:O25" si="5">L20*L13/1000</f>
        <v>233.58111483870971</v>
      </c>
      <c r="M25" s="551">
        <f t="shared" si="5"/>
        <v>281.23110855638714</v>
      </c>
      <c r="N25" s="551">
        <f t="shared" si="5"/>
        <v>281.22955436626995</v>
      </c>
      <c r="O25" s="551">
        <f t="shared" si="5"/>
        <v>268.17287048999998</v>
      </c>
    </row>
    <row r="26" spans="1:15">
      <c r="A26" s="123"/>
      <c r="C26" s="10"/>
      <c r="F26" s="101"/>
      <c r="H26" s="124"/>
      <c r="I26" s="124"/>
      <c r="J26" s="124"/>
      <c r="K26" s="124"/>
      <c r="L26" s="124"/>
      <c r="M26" s="124"/>
      <c r="N26" s="124"/>
      <c r="O26" s="124"/>
    </row>
    <row r="27" spans="1:15">
      <c r="C27" s="19"/>
      <c r="F27" s="101"/>
      <c r="H27" s="124"/>
      <c r="I27" s="124"/>
      <c r="J27" s="124"/>
      <c r="K27" s="124"/>
      <c r="L27" s="124"/>
      <c r="M27" s="124"/>
      <c r="N27" s="124"/>
      <c r="O27" s="124"/>
    </row>
    <row r="28" spans="1:15" ht="13">
      <c r="C28" s="118" t="s">
        <v>3</v>
      </c>
      <c r="F28" s="119"/>
      <c r="H28" s="126"/>
      <c r="I28" s="126"/>
      <c r="J28" s="126"/>
      <c r="K28" s="126"/>
      <c r="L28" s="126"/>
      <c r="M28" s="126"/>
      <c r="N28" s="126"/>
      <c r="O28" s="126"/>
    </row>
    <row r="29" spans="1:15" ht="12.75" customHeight="1">
      <c r="B29" s="11"/>
      <c r="C29" s="11"/>
      <c r="D29" s="11"/>
      <c r="E29" s="11"/>
      <c r="F29" s="127"/>
      <c r="G29" s="11"/>
      <c r="H29" s="11"/>
      <c r="I29" s="11"/>
      <c r="J29" s="11"/>
      <c r="K29" s="11"/>
      <c r="L29" s="11"/>
      <c r="M29" s="11"/>
      <c r="N29" s="11"/>
      <c r="O29" s="11"/>
    </row>
    <row r="30" spans="1:15" ht="12.75" customHeight="1"/>
    <row r="31" spans="1:15" ht="12.75" customHeight="1">
      <c r="A31" s="91"/>
      <c r="B31" s="1"/>
      <c r="C31" s="3"/>
      <c r="D31" s="3"/>
      <c r="E31" s="3"/>
      <c r="F31" s="90"/>
      <c r="G31" s="3"/>
      <c r="H31" s="3"/>
      <c r="I31" s="3"/>
      <c r="J31" s="3"/>
      <c r="K31" s="3"/>
      <c r="L31" s="3"/>
      <c r="M31" s="3"/>
      <c r="N31" s="3"/>
      <c r="O31" s="128">
        <f>$O$1</f>
        <v>0</v>
      </c>
    </row>
    <row r="32" spans="1:15" ht="23">
      <c r="A32" s="91"/>
      <c r="B32" s="1" t="str">
        <f>B$2</f>
        <v xml:space="preserve">Blu Containers Company </v>
      </c>
      <c r="C32" s="3"/>
      <c r="D32" s="3"/>
      <c r="E32" s="3"/>
      <c r="F32" s="90"/>
      <c r="G32" s="3"/>
      <c r="H32" s="3"/>
      <c r="I32" s="3"/>
      <c r="J32" s="3"/>
      <c r="K32" s="3"/>
      <c r="L32" s="3"/>
      <c r="M32" s="3"/>
      <c r="N32" s="3"/>
      <c r="O32" s="3"/>
    </row>
    <row r="33" spans="1:15" ht="18">
      <c r="A33" s="92"/>
      <c r="B33" s="93" t="s">
        <v>152</v>
      </c>
      <c r="C33" s="94"/>
      <c r="D33" s="94"/>
      <c r="E33" s="94"/>
      <c r="F33" s="95"/>
      <c r="G33" s="94"/>
      <c r="H33" s="94"/>
      <c r="I33" s="94"/>
      <c r="J33" s="94"/>
      <c r="K33" s="94"/>
      <c r="L33" s="94"/>
      <c r="M33" s="94"/>
      <c r="N33" s="94"/>
      <c r="O33" s="94"/>
    </row>
    <row r="34" spans="1:15" ht="3" customHeight="1" thickBot="1">
      <c r="A34" s="92"/>
      <c r="B34" s="358"/>
      <c r="C34" s="359"/>
      <c r="D34" s="359"/>
      <c r="E34" s="359"/>
      <c r="F34" s="360"/>
      <c r="G34" s="359"/>
      <c r="H34" s="359"/>
      <c r="I34" s="359"/>
      <c r="J34" s="359"/>
      <c r="K34" s="359"/>
      <c r="L34" s="359"/>
      <c r="M34" s="359"/>
      <c r="N34" s="359"/>
      <c r="O34" s="359"/>
    </row>
    <row r="35" spans="1:15" ht="12.75" customHeight="1">
      <c r="A35" s="93"/>
      <c r="B35" s="94"/>
      <c r="C35" s="94"/>
      <c r="D35" s="94"/>
      <c r="E35" s="94"/>
      <c r="F35" s="95"/>
      <c r="G35" s="94"/>
      <c r="H35" s="94"/>
      <c r="I35" s="94"/>
      <c r="J35" s="94"/>
      <c r="K35" s="94"/>
      <c r="L35" s="94"/>
      <c r="M35" s="94"/>
      <c r="N35" s="94"/>
      <c r="O35" s="94"/>
    </row>
    <row r="36" spans="1:15" ht="13">
      <c r="G36" s="97"/>
      <c r="K36" s="98" t="s">
        <v>2</v>
      </c>
      <c r="L36" s="20"/>
      <c r="M36" s="20"/>
      <c r="N36" s="20"/>
      <c r="O36" s="20"/>
    </row>
    <row r="37" spans="1:15" ht="13">
      <c r="G37" s="21"/>
      <c r="H37" s="349">
        <f t="shared" ref="H37:J37" si="6">H$7</f>
        <v>2020</v>
      </c>
      <c r="I37" s="349">
        <f t="shared" si="6"/>
        <v>2021</v>
      </c>
      <c r="J37" s="349">
        <f t="shared" si="6"/>
        <v>2022</v>
      </c>
      <c r="K37" s="350">
        <f>K$7</f>
        <v>2023</v>
      </c>
      <c r="L37" s="350">
        <f>L$7</f>
        <v>2024</v>
      </c>
      <c r="M37" s="350">
        <f>M$7</f>
        <v>2025</v>
      </c>
      <c r="N37" s="350">
        <f>N$7</f>
        <v>2026</v>
      </c>
      <c r="O37" s="350">
        <f>O$7</f>
        <v>2027</v>
      </c>
    </row>
    <row r="38" spans="1:15" ht="13" customHeight="1">
      <c r="G38" s="21"/>
      <c r="H38" s="21"/>
      <c r="I38" s="21"/>
      <c r="J38" s="21"/>
      <c r="K38" s="21"/>
      <c r="L38" s="21"/>
      <c r="M38" s="21"/>
      <c r="N38" s="21"/>
      <c r="O38" s="21"/>
    </row>
    <row r="39" spans="1:15" ht="13" customHeight="1">
      <c r="B39" s="130" t="s">
        <v>101</v>
      </c>
      <c r="C39" s="131"/>
      <c r="D39" s="131"/>
      <c r="E39" s="131"/>
      <c r="F39" s="132" t="s">
        <v>68</v>
      </c>
      <c r="G39" s="133"/>
      <c r="H39" s="134"/>
      <c r="I39" s="134"/>
      <c r="J39" s="134" cm="1">
        <f t="array" ref="J39:O39">J20:O20</f>
        <v>344.4700460829493</v>
      </c>
      <c r="K39" s="134">
        <v>361.69354838709677</v>
      </c>
      <c r="L39" s="134">
        <v>376.16129032258067</v>
      </c>
      <c r="M39" s="134">
        <v>391.20774193548391</v>
      </c>
      <c r="N39" s="134">
        <v>406.85605161290329</v>
      </c>
      <c r="O39" s="135">
        <v>420</v>
      </c>
    </row>
    <row r="40" spans="1:15" ht="13">
      <c r="B40" s="136" t="s">
        <v>87</v>
      </c>
      <c r="C40" s="111"/>
      <c r="D40" s="111"/>
      <c r="E40" s="111"/>
      <c r="F40" s="122" t="s">
        <v>99</v>
      </c>
      <c r="G40" s="137"/>
      <c r="H40" s="138"/>
      <c r="I40" s="138"/>
      <c r="J40" s="138"/>
      <c r="K40" s="138" cm="1">
        <f t="array" ref="K40:O40">Scenarios!G13:K13</f>
        <v>0.02</v>
      </c>
      <c r="L40" s="139">
        <v>0.02</v>
      </c>
      <c r="M40" s="139">
        <v>0.02</v>
      </c>
      <c r="N40" s="139">
        <v>2.5000000000000001E-2</v>
      </c>
      <c r="O40" s="140">
        <v>2.5000000000000001E-2</v>
      </c>
    </row>
    <row r="41" spans="1:15" ht="13" customHeight="1">
      <c r="B41" s="141"/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2.75" customHeight="1">
      <c r="B42" s="142" t="s">
        <v>69</v>
      </c>
      <c r="G42" s="21"/>
      <c r="H42" s="21"/>
      <c r="I42" s="21"/>
      <c r="J42" s="21"/>
      <c r="K42" s="21"/>
      <c r="M42" s="21"/>
      <c r="N42" s="21"/>
      <c r="O42" s="21"/>
    </row>
    <row r="43" spans="1:15" ht="13">
      <c r="A43" s="123"/>
      <c r="B43">
        <v>1</v>
      </c>
      <c r="C43" s="118" t="s">
        <v>32</v>
      </c>
    </row>
    <row r="44" spans="1:15" ht="13">
      <c r="D44" s="19" t="s">
        <v>341</v>
      </c>
      <c r="F44" s="96" t="s">
        <v>342</v>
      </c>
      <c r="H44" s="143"/>
      <c r="I44" s="143"/>
      <c r="J44" s="533">
        <f>Assumptions!E28</f>
        <v>226</v>
      </c>
      <c r="K44" s="441">
        <f>J44*(1+L$40)</f>
        <v>230.52</v>
      </c>
      <c r="L44" s="441">
        <f t="shared" ref="L44:O44" si="7">K44*(1+M$40)</f>
        <v>235.13040000000001</v>
      </c>
      <c r="M44" s="441">
        <f t="shared" si="7"/>
        <v>241.00865999999999</v>
      </c>
      <c r="N44" s="441">
        <f t="shared" si="7"/>
        <v>247.03387649999996</v>
      </c>
      <c r="O44" s="441">
        <f t="shared" si="7"/>
        <v>247.03387649999996</v>
      </c>
    </row>
    <row r="45" spans="1:15" ht="13">
      <c r="D45" s="19" t="s">
        <v>235</v>
      </c>
      <c r="F45" s="96" t="str">
        <f>F44</f>
        <v>($/ Unit)</v>
      </c>
      <c r="H45" s="143"/>
      <c r="I45" s="143"/>
      <c r="J45" s="533">
        <f>Assumptions!E29</f>
        <v>66.2</v>
      </c>
      <c r="K45" s="441">
        <f>J45*(1+L$40)</f>
        <v>67.524000000000001</v>
      </c>
      <c r="L45" s="441">
        <f>K45*(1+M$40)</f>
        <v>68.874480000000005</v>
      </c>
      <c r="M45" s="441">
        <f t="shared" ref="M45:O45" si="8">L45*(1+N$40)</f>
        <v>70.596341999999993</v>
      </c>
      <c r="N45" s="441">
        <f t="shared" si="8"/>
        <v>72.36125054999998</v>
      </c>
      <c r="O45" s="441">
        <f t="shared" si="8"/>
        <v>72.36125054999998</v>
      </c>
    </row>
    <row r="46" spans="1:15" ht="13">
      <c r="D46" s="118" t="s">
        <v>33</v>
      </c>
      <c r="F46" s="145" t="str">
        <f>F45</f>
        <v>($/ Unit)</v>
      </c>
      <c r="H46" s="146"/>
      <c r="I46" s="146"/>
      <c r="J46" s="146">
        <f>SUM(J44:J45)</f>
        <v>292.2</v>
      </c>
      <c r="K46" s="146">
        <f t="shared" ref="K46:O46" si="9">SUM(K44:K45)</f>
        <v>298.04399999999998</v>
      </c>
      <c r="L46" s="146">
        <f t="shared" si="9"/>
        <v>304.00488000000001</v>
      </c>
      <c r="M46" s="146">
        <f t="shared" si="9"/>
        <v>311.60500200000001</v>
      </c>
      <c r="N46" s="146">
        <f t="shared" si="9"/>
        <v>319.39512704999993</v>
      </c>
      <c r="O46" s="146">
        <f t="shared" si="9"/>
        <v>319.39512704999993</v>
      </c>
    </row>
    <row r="47" spans="1:15" ht="6" customHeight="1">
      <c r="D47" s="19"/>
      <c r="H47" s="147"/>
      <c r="I47" s="147"/>
      <c r="J47" s="147"/>
      <c r="K47" s="234"/>
      <c r="L47" s="234"/>
      <c r="M47" s="234"/>
      <c r="N47" s="234"/>
      <c r="O47" s="234"/>
    </row>
    <row r="48" spans="1:15" ht="12.75" customHeight="1">
      <c r="B48">
        <v>4</v>
      </c>
      <c r="C48" s="108" t="s">
        <v>34</v>
      </c>
      <c r="D48" s="19"/>
      <c r="H48" s="148"/>
      <c r="I48" s="148"/>
      <c r="J48" s="148"/>
      <c r="K48" s="455"/>
      <c r="L48" s="456"/>
      <c r="M48" s="456"/>
      <c r="N48" s="456"/>
      <c r="O48" s="456"/>
    </row>
    <row r="49" spans="1:17" ht="12.75" customHeight="1">
      <c r="D49" s="19" t="s">
        <v>343</v>
      </c>
      <c r="F49" s="96" t="s">
        <v>342</v>
      </c>
      <c r="H49" s="144"/>
      <c r="I49" s="144"/>
      <c r="K49" s="534">
        <f>K64*1000/K39</f>
        <v>64.972129319955414</v>
      </c>
      <c r="L49" s="441">
        <f>L64*1000/L$39</f>
        <v>63.722665294571648</v>
      </c>
      <c r="M49" s="441">
        <f t="shared" ref="M49:O49" si="10">M64*1000/M$39</f>
        <v>62.497229423522192</v>
      </c>
      <c r="N49" s="441">
        <f t="shared" si="10"/>
        <v>61.595827076067536</v>
      </c>
      <c r="O49" s="441">
        <f t="shared" si="10"/>
        <v>61.159883035714273</v>
      </c>
    </row>
    <row r="50" spans="1:17">
      <c r="D50" s="19" t="s">
        <v>344</v>
      </c>
      <c r="F50" s="96" t="str">
        <f>F49</f>
        <v>($/ Unit)</v>
      </c>
      <c r="H50" s="144"/>
      <c r="I50" s="144"/>
      <c r="K50" s="535">
        <f>1000*K65/K39</f>
        <v>120.2675585284281</v>
      </c>
      <c r="L50" s="441">
        <f t="shared" ref="L50:O51" si="11">L65*1000/L$39</f>
        <v>117.95472086441985</v>
      </c>
      <c r="M50" s="441">
        <f t="shared" si="11"/>
        <v>115.68636084779638</v>
      </c>
      <c r="N50" s="441">
        <f t="shared" si="11"/>
        <v>114.01780756633777</v>
      </c>
      <c r="O50" s="441">
        <f t="shared" si="11"/>
        <v>113.21084732142855</v>
      </c>
    </row>
    <row r="51" spans="1:17" ht="12.75" customHeight="1">
      <c r="D51" s="19" t="s">
        <v>345</v>
      </c>
      <c r="F51" s="96" t="str">
        <f>F50</f>
        <v>($/ Unit)</v>
      </c>
      <c r="H51" s="144"/>
      <c r="I51" s="144"/>
      <c r="K51" s="535">
        <f>1000*K66/K39</f>
        <v>5.5295429208472688</v>
      </c>
      <c r="L51" s="441">
        <f t="shared" si="11"/>
        <v>5.4232055569848212</v>
      </c>
      <c r="M51" s="441">
        <f t="shared" si="11"/>
        <v>5.3189131424274203</v>
      </c>
      <c r="N51" s="441">
        <f t="shared" si="11"/>
        <v>5.2421980490270235</v>
      </c>
      <c r="O51" s="441">
        <f t="shared" si="11"/>
        <v>5.2050964285714274</v>
      </c>
      <c r="Q51" t="s">
        <v>379</v>
      </c>
    </row>
    <row r="52" spans="1:17" ht="13">
      <c r="D52" s="100" t="s">
        <v>48</v>
      </c>
      <c r="F52" s="145" t="str">
        <f>F51</f>
        <v>($/ Unit)</v>
      </c>
      <c r="H52" s="536"/>
      <c r="I52" s="536"/>
      <c r="J52" s="536"/>
      <c r="K52" s="537">
        <f>SUM(K49:K51)</f>
        <v>190.76923076923077</v>
      </c>
      <c r="L52" s="537">
        <f t="shared" ref="L52:O52" si="12">SUM(L49:L51)</f>
        <v>187.10059171597632</v>
      </c>
      <c r="M52" s="537">
        <f t="shared" si="12"/>
        <v>183.50250341374598</v>
      </c>
      <c r="N52" s="537">
        <f t="shared" si="12"/>
        <v>180.85583269143234</v>
      </c>
      <c r="O52" s="537">
        <f t="shared" si="12"/>
        <v>179.57582678571424</v>
      </c>
      <c r="P52" s="149"/>
      <c r="Q52" t="s">
        <v>378</v>
      </c>
    </row>
    <row r="53" spans="1:17" ht="6" customHeight="1">
      <c r="C53" s="118"/>
      <c r="F53" s="145"/>
      <c r="H53" s="150"/>
      <c r="I53" s="150"/>
      <c r="J53" s="150"/>
      <c r="K53" s="150"/>
      <c r="L53" s="448"/>
      <c r="M53" s="448"/>
      <c r="N53" s="448"/>
      <c r="O53" s="448"/>
      <c r="P53" s="149"/>
    </row>
    <row r="54" spans="1:17" ht="13">
      <c r="C54" s="538" t="s">
        <v>43</v>
      </c>
      <c r="D54" s="261"/>
      <c r="E54" s="261"/>
      <c r="F54" s="539"/>
      <c r="G54" s="261"/>
      <c r="H54" s="540"/>
      <c r="I54" s="540"/>
      <c r="J54" s="540"/>
      <c r="K54" s="540">
        <f>K52+J46</f>
        <v>482.96923076923076</v>
      </c>
      <c r="L54" s="540">
        <f t="shared" ref="L54:O54" si="13">L52+L46</f>
        <v>491.10547171597636</v>
      </c>
      <c r="M54" s="540">
        <f t="shared" si="13"/>
        <v>495.10750541374603</v>
      </c>
      <c r="N54" s="540">
        <f t="shared" si="13"/>
        <v>500.25095974143227</v>
      </c>
      <c r="O54" s="540">
        <f t="shared" si="13"/>
        <v>498.97095383571417</v>
      </c>
    </row>
    <row r="55" spans="1:17" ht="13" customHeight="1">
      <c r="B55" s="112"/>
      <c r="C55" s="153"/>
      <c r="D55" s="111"/>
      <c r="E55" s="111"/>
      <c r="F55" s="154"/>
      <c r="G55" s="155"/>
      <c r="H55" s="155"/>
      <c r="I55" s="155"/>
      <c r="J55" s="155"/>
      <c r="K55" s="457"/>
      <c r="L55" s="457"/>
      <c r="M55" s="457"/>
      <c r="N55" s="457"/>
      <c r="O55" s="457"/>
    </row>
    <row r="56" spans="1:17" ht="13" customHeight="1">
      <c r="B56" s="100"/>
      <c r="C56" s="118"/>
      <c r="F56" s="145"/>
      <c r="H56" s="150"/>
      <c r="I56" s="150"/>
      <c r="J56" s="150"/>
      <c r="K56" s="448"/>
      <c r="L56" s="448"/>
      <c r="M56" s="448"/>
      <c r="N56" s="448"/>
      <c r="O56" s="448"/>
    </row>
    <row r="57" spans="1:17" ht="13">
      <c r="B57" s="142" t="s">
        <v>153</v>
      </c>
      <c r="C57" s="118"/>
      <c r="F57" s="145"/>
      <c r="H57" s="150"/>
      <c r="I57" s="150"/>
      <c r="J57" s="150"/>
      <c r="K57" s="448"/>
      <c r="L57" s="448"/>
      <c r="M57" s="448"/>
      <c r="N57" s="448"/>
      <c r="O57" s="448"/>
    </row>
    <row r="58" spans="1:17" ht="13">
      <c r="B58">
        <v>2</v>
      </c>
      <c r="C58" s="118" t="s">
        <v>32</v>
      </c>
      <c r="H58" s="150"/>
      <c r="I58" s="150"/>
      <c r="J58" s="150"/>
      <c r="K58" s="448"/>
      <c r="L58" s="448"/>
      <c r="M58" s="448"/>
      <c r="N58" s="448"/>
      <c r="O58" s="448"/>
    </row>
    <row r="59" spans="1:17">
      <c r="D59" s="19" t="s">
        <v>234</v>
      </c>
      <c r="F59" s="96" t="s">
        <v>346</v>
      </c>
      <c r="H59" s="144"/>
      <c r="I59" s="144"/>
      <c r="K59" s="144">
        <f>J44*K39/1000</f>
        <v>81.742741935483863</v>
      </c>
      <c r="L59" s="424">
        <f>L$39*K44/1000</f>
        <v>86.712700645161291</v>
      </c>
      <c r="M59" s="424">
        <f>M39*L$44/1000</f>
        <v>91.984832844387114</v>
      </c>
      <c r="N59" s="424">
        <f>N39*M$44/1000</f>
        <v>98.055831812116651</v>
      </c>
      <c r="O59" s="424">
        <f>O39*N$44/1000</f>
        <v>103.75422812999999</v>
      </c>
    </row>
    <row r="60" spans="1:17">
      <c r="D60" s="19" t="s">
        <v>235</v>
      </c>
      <c r="F60" s="96" t="s">
        <v>346</v>
      </c>
      <c r="H60" s="144"/>
      <c r="I60" s="144"/>
      <c r="K60" s="144">
        <f>J45*K39/1000</f>
        <v>23.944112903225808</v>
      </c>
      <c r="L60" s="424">
        <f>L$39*K45/1000</f>
        <v>25.399914967741939</v>
      </c>
      <c r="M60" s="424">
        <f>M$39*L45/1000</f>
        <v>26.944229797780647</v>
      </c>
      <c r="N60" s="424">
        <f>N$39*M45/1000</f>
        <v>28.722548964434168</v>
      </c>
      <c r="O60" s="424">
        <f>O$39*N45/1000</f>
        <v>30.391725230999992</v>
      </c>
    </row>
    <row r="61" spans="1:17" ht="12.75" customHeight="1">
      <c r="D61" s="118" t="s">
        <v>33</v>
      </c>
      <c r="F61" s="145" t="s">
        <v>346</v>
      </c>
      <c r="H61" s="146"/>
      <c r="I61" s="146"/>
      <c r="K61" s="214">
        <f>SUM(K59:K60)</f>
        <v>105.68685483870968</v>
      </c>
      <c r="L61" s="214">
        <f t="shared" ref="L61:O61" si="14">SUM(L59:L60)</f>
        <v>112.11261561290323</v>
      </c>
      <c r="M61" s="214">
        <f t="shared" si="14"/>
        <v>118.92906264216776</v>
      </c>
      <c r="N61" s="214">
        <f t="shared" si="14"/>
        <v>126.77838077655082</v>
      </c>
      <c r="O61" s="214">
        <f t="shared" si="14"/>
        <v>134.14595336099998</v>
      </c>
    </row>
    <row r="62" spans="1:17" ht="6" customHeight="1">
      <c r="D62" s="19"/>
      <c r="F62" s="145"/>
      <c r="H62" s="150"/>
      <c r="I62" s="150"/>
      <c r="K62" s="150"/>
      <c r="L62" s="448"/>
      <c r="M62" s="448"/>
      <c r="N62" s="448"/>
      <c r="O62" s="448"/>
    </row>
    <row r="63" spans="1:17" ht="12.75" customHeight="1">
      <c r="B63">
        <v>3</v>
      </c>
      <c r="C63" s="108" t="s">
        <v>34</v>
      </c>
      <c r="D63" s="19"/>
      <c r="F63" s="145"/>
      <c r="H63" s="150"/>
      <c r="I63" s="150"/>
      <c r="K63" s="150"/>
      <c r="L63" s="448"/>
      <c r="M63" s="448"/>
      <c r="N63" s="448"/>
      <c r="O63" s="448"/>
    </row>
    <row r="64" spans="1:17" ht="12.75" customHeight="1">
      <c r="A64" s="23"/>
      <c r="D64" s="19" t="s">
        <v>343</v>
      </c>
      <c r="F64" s="145" t="str">
        <f>F65</f>
        <v>($ MM)</v>
      </c>
      <c r="H64" s="143"/>
      <c r="I64" s="143"/>
      <c r="K64" s="144">
        <f>Assumptions!E30</f>
        <v>23.5</v>
      </c>
      <c r="L64" s="441">
        <f t="shared" ref="L64:O66" si="15">K64*(1+L$40)</f>
        <v>23.97</v>
      </c>
      <c r="M64" s="441">
        <f t="shared" si="15"/>
        <v>24.449400000000001</v>
      </c>
      <c r="N64" s="441">
        <f t="shared" si="15"/>
        <v>25.060634999999998</v>
      </c>
      <c r="O64" s="441">
        <f t="shared" si="15"/>
        <v>25.687150874999997</v>
      </c>
    </row>
    <row r="65" spans="1:15" ht="12.75" customHeight="1">
      <c r="D65" s="19" t="s">
        <v>344</v>
      </c>
      <c r="F65" s="96" t="s">
        <v>346</v>
      </c>
      <c r="H65" s="143"/>
      <c r="I65" s="143"/>
      <c r="K65" s="144">
        <f>Assumptions!E31</f>
        <v>43.5</v>
      </c>
      <c r="L65" s="441">
        <f t="shared" si="15"/>
        <v>44.37</v>
      </c>
      <c r="M65" s="441">
        <f t="shared" si="15"/>
        <v>45.257399999999997</v>
      </c>
      <c r="N65" s="441">
        <f t="shared" si="15"/>
        <v>46.388834999999993</v>
      </c>
      <c r="O65" s="441">
        <f t="shared" si="15"/>
        <v>47.548555874999991</v>
      </c>
    </row>
    <row r="66" spans="1:15" ht="13" customHeight="1">
      <c r="D66" s="19" t="s">
        <v>345</v>
      </c>
      <c r="F66" s="96" t="s">
        <v>346</v>
      </c>
      <c r="H66" s="143"/>
      <c r="I66" s="143"/>
      <c r="K66" s="144">
        <f>Assumptions!E32</f>
        <v>2</v>
      </c>
      <c r="L66" s="441">
        <f t="shared" si="15"/>
        <v>2.04</v>
      </c>
      <c r="M66" s="441">
        <f t="shared" si="15"/>
        <v>2.0808</v>
      </c>
      <c r="N66" s="441">
        <f t="shared" si="15"/>
        <v>2.1328199999999997</v>
      </c>
      <c r="O66" s="441">
        <f t="shared" si="15"/>
        <v>2.1861404999999996</v>
      </c>
    </row>
    <row r="67" spans="1:15" ht="13" customHeight="1">
      <c r="D67" s="100" t="s">
        <v>48</v>
      </c>
      <c r="F67" s="145" t="s">
        <v>346</v>
      </c>
      <c r="H67" s="146"/>
      <c r="I67" s="146"/>
      <c r="K67" s="214">
        <f>SUM(K64:K66)</f>
        <v>69</v>
      </c>
      <c r="L67" s="214">
        <f t="shared" ref="L67:O67" si="16">SUM(L64:L66)</f>
        <v>70.38000000000001</v>
      </c>
      <c r="M67" s="214">
        <f t="shared" si="16"/>
        <v>71.787599999999998</v>
      </c>
      <c r="N67" s="214">
        <f t="shared" si="16"/>
        <v>73.582289999999986</v>
      </c>
      <c r="O67" s="214">
        <f t="shared" si="16"/>
        <v>75.421847249999985</v>
      </c>
    </row>
    <row r="68" spans="1:15" ht="6" customHeight="1">
      <c r="C68" s="118"/>
      <c r="H68" s="147"/>
      <c r="I68" s="147"/>
      <c r="K68" s="147"/>
      <c r="L68" s="234"/>
      <c r="M68" s="234"/>
      <c r="N68" s="234"/>
      <c r="O68" s="234"/>
    </row>
    <row r="69" spans="1:15" ht="13.5" thickBot="1">
      <c r="C69" s="100" t="s">
        <v>43</v>
      </c>
      <c r="F69" s="145" t="str">
        <f>F67</f>
        <v>($ MM)</v>
      </c>
      <c r="H69" s="151"/>
      <c r="I69" s="151"/>
      <c r="K69" s="541">
        <f>K67+K61</f>
        <v>174.68685483870968</v>
      </c>
      <c r="L69" s="541">
        <f t="shared" ref="L69:O69" si="17">L67+L61</f>
        <v>182.49261561290325</v>
      </c>
      <c r="M69" s="541">
        <f t="shared" si="17"/>
        <v>190.71666264216776</v>
      </c>
      <c r="N69" s="541">
        <f t="shared" si="17"/>
        <v>200.36067077655082</v>
      </c>
      <c r="O69" s="541">
        <f t="shared" si="17"/>
        <v>209.56780061099997</v>
      </c>
    </row>
    <row r="70" spans="1:15" ht="12.75" customHeight="1">
      <c r="B70" s="156"/>
      <c r="C70" s="157"/>
      <c r="D70" s="11"/>
      <c r="E70" s="11"/>
      <c r="F70" s="158"/>
      <c r="G70" s="159"/>
      <c r="H70" s="159"/>
      <c r="I70" s="159"/>
      <c r="J70" s="159"/>
      <c r="K70" s="159"/>
      <c r="L70" s="159"/>
      <c r="M70" s="159"/>
      <c r="N70" s="159"/>
      <c r="O70" s="159"/>
    </row>
    <row r="71" spans="1:15">
      <c r="H71" s="160"/>
      <c r="I71" s="160"/>
      <c r="J71" s="160"/>
      <c r="K71" s="160"/>
      <c r="L71" s="160"/>
      <c r="M71" s="160"/>
      <c r="N71" s="160"/>
      <c r="O71" s="160"/>
    </row>
    <row r="72" spans="1:15" ht="12.75" customHeight="1">
      <c r="A72" s="91"/>
      <c r="B72" s="1"/>
      <c r="C72" s="3"/>
      <c r="D72" s="3"/>
      <c r="E72" s="3"/>
      <c r="F72" s="90"/>
      <c r="G72" s="3"/>
      <c r="H72" s="3"/>
      <c r="I72" s="3"/>
      <c r="J72" s="3"/>
      <c r="K72" s="3"/>
      <c r="L72" s="3"/>
      <c r="M72" s="3"/>
      <c r="N72" s="3"/>
      <c r="O72" s="128">
        <f>$O$1</f>
        <v>0</v>
      </c>
    </row>
    <row r="73" spans="1:15" ht="23">
      <c r="A73" s="91"/>
      <c r="B73" s="1" t="str">
        <f>B$2</f>
        <v xml:space="preserve">Blu Containers Company </v>
      </c>
      <c r="C73" s="3"/>
      <c r="D73" s="3"/>
      <c r="E73" s="3"/>
      <c r="F73" s="90"/>
      <c r="G73" s="3"/>
      <c r="H73" s="3"/>
      <c r="I73" s="3"/>
      <c r="J73" s="3"/>
      <c r="K73" s="3"/>
      <c r="L73" s="3"/>
      <c r="M73" s="3"/>
      <c r="N73" s="3"/>
      <c r="O73" s="3"/>
    </row>
    <row r="74" spans="1:15" ht="18">
      <c r="A74" s="92"/>
      <c r="B74" s="93" t="s">
        <v>35</v>
      </c>
      <c r="C74" s="94"/>
      <c r="D74" s="94"/>
      <c r="E74" s="94"/>
      <c r="F74" s="95"/>
      <c r="G74" s="94"/>
      <c r="H74" s="94"/>
      <c r="I74" s="94"/>
      <c r="J74" s="94"/>
      <c r="K74" s="94"/>
      <c r="L74" s="94"/>
      <c r="M74" s="94"/>
      <c r="N74" s="94"/>
      <c r="O74" s="94"/>
    </row>
    <row r="75" spans="1:15" ht="3" customHeight="1" thickBot="1">
      <c r="A75" s="92"/>
      <c r="B75" s="358"/>
      <c r="C75" s="359"/>
      <c r="D75" s="359"/>
      <c r="E75" s="359"/>
      <c r="F75" s="360"/>
      <c r="G75" s="359"/>
      <c r="H75" s="359"/>
      <c r="I75" s="359"/>
      <c r="J75" s="359"/>
      <c r="K75" s="359"/>
      <c r="L75" s="359"/>
      <c r="M75" s="359"/>
      <c r="N75" s="359"/>
      <c r="O75" s="359"/>
    </row>
    <row r="76" spans="1:15" ht="15" customHeight="1">
      <c r="A76" s="93"/>
      <c r="B76" s="161" t="s">
        <v>143</v>
      </c>
      <c r="C76" s="94"/>
      <c r="D76" s="94"/>
      <c r="E76" s="94"/>
      <c r="F76" s="95"/>
      <c r="G76" s="94"/>
      <c r="H76" s="94"/>
      <c r="I76" s="94"/>
      <c r="J76" s="94"/>
      <c r="K76" s="94"/>
      <c r="L76" s="94"/>
      <c r="M76" s="94"/>
      <c r="N76" s="94"/>
      <c r="O76" s="94"/>
    </row>
    <row r="77" spans="1:15" ht="13">
      <c r="G77" s="97"/>
      <c r="K77" s="98" t="s">
        <v>2</v>
      </c>
      <c r="L77" s="20"/>
      <c r="M77" s="20"/>
      <c r="N77" s="20"/>
      <c r="O77" s="20"/>
    </row>
    <row r="78" spans="1:15" ht="13">
      <c r="G78" s="21"/>
      <c r="H78" s="349">
        <f t="shared" ref="H78:J78" si="18">H$7</f>
        <v>2020</v>
      </c>
      <c r="I78" s="349">
        <f t="shared" si="18"/>
        <v>2021</v>
      </c>
      <c r="J78" s="349">
        <f t="shared" si="18"/>
        <v>2022</v>
      </c>
      <c r="K78" s="350">
        <f>K$7</f>
        <v>2023</v>
      </c>
      <c r="L78" s="350">
        <f>L$7</f>
        <v>2024</v>
      </c>
      <c r="M78" s="350">
        <f>M$7</f>
        <v>2025</v>
      </c>
      <c r="N78" s="350">
        <f>N$7</f>
        <v>2026</v>
      </c>
      <c r="O78" s="350">
        <f>O$7</f>
        <v>2027</v>
      </c>
    </row>
    <row r="79" spans="1:15" ht="6" customHeight="1">
      <c r="G79" s="21"/>
      <c r="H79" s="21"/>
      <c r="I79" s="21"/>
      <c r="J79" s="21"/>
      <c r="K79" s="162"/>
      <c r="L79" s="162"/>
      <c r="M79" s="162"/>
      <c r="N79" s="61"/>
      <c r="O79" s="163"/>
    </row>
    <row r="80" spans="1:15" ht="13">
      <c r="B80" s="164" t="s">
        <v>100</v>
      </c>
      <c r="C80" s="165"/>
      <c r="D80" s="165"/>
      <c r="E80" s="165"/>
      <c r="F80" s="165" t="s">
        <v>68</v>
      </c>
      <c r="G80" s="166"/>
      <c r="H80" s="167"/>
      <c r="I80" s="167"/>
      <c r="J80" s="443" cm="1">
        <f t="array" ref="J80:O80">_xlfn.ANCHORARRAY(J39)</f>
        <v>344.4700460829493</v>
      </c>
      <c r="K80" s="167">
        <v>361.69354838709677</v>
      </c>
      <c r="L80" s="443">
        <v>376.16129032258067</v>
      </c>
      <c r="M80" s="443">
        <v>391.20774193548391</v>
      </c>
      <c r="N80" s="443">
        <v>406.85605161290329</v>
      </c>
      <c r="O80" s="444">
        <v>420</v>
      </c>
    </row>
    <row r="81" spans="1:17" ht="6" customHeight="1">
      <c r="F81" s="101"/>
      <c r="G81" s="21"/>
      <c r="H81" s="21"/>
      <c r="I81" s="21"/>
      <c r="J81" s="21"/>
      <c r="K81" s="162"/>
      <c r="L81" s="162"/>
      <c r="M81" s="162"/>
      <c r="N81" s="61"/>
      <c r="O81" s="163"/>
    </row>
    <row r="82" spans="1:17" ht="13">
      <c r="B82" s="118" t="s">
        <v>41</v>
      </c>
      <c r="F82" s="101"/>
      <c r="G82" s="21"/>
      <c r="H82" s="21"/>
      <c r="I82" s="21"/>
      <c r="J82" s="21"/>
      <c r="K82" s="162"/>
      <c r="L82" s="162"/>
      <c r="M82" s="162"/>
      <c r="N82" s="61"/>
      <c r="O82" s="163"/>
    </row>
    <row r="83" spans="1:17">
      <c r="C83" t="s">
        <v>42</v>
      </c>
      <c r="F83" s="101" t="s">
        <v>681</v>
      </c>
      <c r="H83" s="143">
        <v>244.79999999999998</v>
      </c>
      <c r="I83" s="143">
        <v>269.3</v>
      </c>
      <c r="J83" s="143">
        <v>239.2</v>
      </c>
      <c r="K83" s="445">
        <f>K10*K20/1000</f>
        <v>289.35483870967738</v>
      </c>
      <c r="L83" s="445">
        <f>L10*L20/1000</f>
        <v>272.716935483871</v>
      </c>
      <c r="M83" s="445">
        <f>M10*M20/1000</f>
        <v>322.74638709677424</v>
      </c>
      <c r="N83" s="445">
        <f>N10*N20/1000</f>
        <v>325.48484129032266</v>
      </c>
      <c r="O83" s="445">
        <f>O10*O20/1000</f>
        <v>315</v>
      </c>
    </row>
    <row r="84" spans="1:17">
      <c r="C84" s="19" t="s">
        <v>49</v>
      </c>
      <c r="F84" s="101" t="str">
        <f>F83</f>
        <v>rev sche</v>
      </c>
      <c r="H84" s="168">
        <v>31.3</v>
      </c>
      <c r="I84" s="168">
        <v>32.700000000000003</v>
      </c>
      <c r="J84" s="168">
        <v>34.4</v>
      </c>
      <c r="K84" s="445">
        <f>K12*K20/1000</f>
        <v>36.892741935483869</v>
      </c>
      <c r="L84" s="445">
        <f>L12*L20/1000</f>
        <v>39.135820645161296</v>
      </c>
      <c r="M84" s="445">
        <f>M12*M20/1000</f>
        <v>41.515278540387101</v>
      </c>
      <c r="N84" s="445">
        <f>N12*N20/1000</f>
        <v>44.255286924052648</v>
      </c>
      <c r="O84" s="445">
        <f>O12*O20/1000</f>
        <v>46.827129509999992</v>
      </c>
    </row>
    <row r="85" spans="1:17" ht="13">
      <c r="C85" s="118" t="s">
        <v>3</v>
      </c>
      <c r="F85" s="119"/>
      <c r="H85" s="169">
        <f t="shared" ref="H85:J85" si="19">+H83-H84</f>
        <v>213.49999999999997</v>
      </c>
      <c r="I85" s="169">
        <f t="shared" si="19"/>
        <v>236.60000000000002</v>
      </c>
      <c r="J85" s="169">
        <f t="shared" si="19"/>
        <v>204.79999999999998</v>
      </c>
      <c r="K85" s="552">
        <f>K83-K84</f>
        <v>252.46209677419353</v>
      </c>
      <c r="L85" s="552">
        <f t="shared" ref="L85:O85" si="20">L83-L84</f>
        <v>233.58111483870971</v>
      </c>
      <c r="M85" s="552">
        <f t="shared" si="20"/>
        <v>281.23110855638714</v>
      </c>
      <c r="N85" s="552">
        <f t="shared" si="20"/>
        <v>281.22955436627001</v>
      </c>
      <c r="O85" s="552">
        <f t="shared" si="20"/>
        <v>268.17287049000004</v>
      </c>
    </row>
    <row r="86" spans="1:17" ht="13">
      <c r="F86" s="101"/>
      <c r="H86" s="170"/>
      <c r="I86" s="170"/>
      <c r="J86" s="170"/>
      <c r="K86" s="171"/>
      <c r="L86" s="171"/>
      <c r="M86" s="171"/>
      <c r="N86" s="171"/>
      <c r="O86" s="149"/>
    </row>
    <row r="87" spans="1:17">
      <c r="C87" t="s">
        <v>4</v>
      </c>
      <c r="F87" s="101" t="s">
        <v>346</v>
      </c>
      <c r="H87" s="172">
        <v>159.9</v>
      </c>
      <c r="I87" s="172">
        <v>164.6</v>
      </c>
      <c r="J87" s="172">
        <v>167.9</v>
      </c>
      <c r="K87" s="445">
        <f>K69</f>
        <v>174.68685483870968</v>
      </c>
      <c r="L87" s="445">
        <f>L69</f>
        <v>182.49261561290325</v>
      </c>
      <c r="M87" s="445">
        <f>M69</f>
        <v>190.71666264216776</v>
      </c>
      <c r="N87" s="445">
        <f>N69</f>
        <v>200.36067077655082</v>
      </c>
      <c r="O87" s="445">
        <f>O69</f>
        <v>209.56780061099997</v>
      </c>
    </row>
    <row r="88" spans="1:17">
      <c r="A88" s="123"/>
      <c r="C88" s="10" t="s">
        <v>411</v>
      </c>
      <c r="F88" s="101" t="s">
        <v>346</v>
      </c>
      <c r="H88" s="173">
        <v>3.4</v>
      </c>
      <c r="I88" s="173">
        <v>3.6</v>
      </c>
      <c r="J88" s="173">
        <v>3.8</v>
      </c>
      <c r="K88" s="442">
        <f>J88*(1+Scenarios!G13)</f>
        <v>3.8759999999999999</v>
      </c>
      <c r="L88" s="442">
        <f>K88*(1+Scenarios!H13)</f>
        <v>3.9535200000000001</v>
      </c>
      <c r="M88" s="442">
        <f>L88*(1+Scenarios!I13)</f>
        <v>4.0325904000000001</v>
      </c>
      <c r="N88" s="442">
        <f>M88*(1+Scenarios!J13)</f>
        <v>4.1334051599999997</v>
      </c>
      <c r="O88" s="442">
        <f>N88*(1+Scenarios!K13)</f>
        <v>4.2367402889999992</v>
      </c>
      <c r="Q88" t="s">
        <v>671</v>
      </c>
    </row>
    <row r="89" spans="1:17" ht="13">
      <c r="C89" s="100" t="s">
        <v>43</v>
      </c>
      <c r="F89" s="101" t="s">
        <v>346</v>
      </c>
      <c r="H89" s="169">
        <f t="shared" ref="H89:J89" si="21">SUM(H87:H88)</f>
        <v>163.30000000000001</v>
      </c>
      <c r="I89" s="169">
        <f t="shared" si="21"/>
        <v>168.2</v>
      </c>
      <c r="J89" s="169">
        <f t="shared" si="21"/>
        <v>171.70000000000002</v>
      </c>
      <c r="K89" s="560">
        <f>K88+K87</f>
        <v>178.56285483870968</v>
      </c>
      <c r="L89" s="560">
        <f t="shared" ref="L89:O89" si="22">L88+L87</f>
        <v>186.44613561290325</v>
      </c>
      <c r="M89" s="560">
        <f t="shared" si="22"/>
        <v>194.74925304216777</v>
      </c>
      <c r="N89" s="560">
        <f t="shared" si="22"/>
        <v>204.49407593655081</v>
      </c>
      <c r="O89" s="560">
        <f t="shared" si="22"/>
        <v>213.80454089999998</v>
      </c>
    </row>
    <row r="90" spans="1:17" ht="13">
      <c r="C90" s="100"/>
      <c r="F90" s="119"/>
      <c r="H90" s="174"/>
      <c r="I90" s="174"/>
      <c r="J90" s="174"/>
      <c r="K90" s="446"/>
      <c r="L90" s="446"/>
      <c r="M90" s="446"/>
      <c r="N90" s="446"/>
      <c r="O90" s="446"/>
    </row>
    <row r="91" spans="1:17">
      <c r="A91" s="123"/>
      <c r="C91" s="10" t="s">
        <v>136</v>
      </c>
      <c r="F91" s="101"/>
      <c r="H91" s="175">
        <v>0</v>
      </c>
      <c r="I91" s="175">
        <v>0</v>
      </c>
      <c r="J91" s="175">
        <v>0</v>
      </c>
      <c r="K91" s="442">
        <f>Assumptions!J54</f>
        <v>0</v>
      </c>
      <c r="L91" s="442">
        <f>Assumptions!K54</f>
        <v>0</v>
      </c>
      <c r="M91" s="442">
        <f>Assumptions!L54</f>
        <v>0</v>
      </c>
      <c r="N91" s="442">
        <f>Assumptions!M54</f>
        <v>0</v>
      </c>
      <c r="O91" s="442">
        <f>Assumptions!N54</f>
        <v>0</v>
      </c>
    </row>
    <row r="92" spans="1:17" ht="13">
      <c r="B92" s="118"/>
      <c r="C92" s="118" t="s">
        <v>5</v>
      </c>
      <c r="F92" s="119"/>
      <c r="H92" s="176">
        <f t="shared" ref="H92:J92" si="23">H85-H89+H91</f>
        <v>50.19999999999996</v>
      </c>
      <c r="I92" s="176">
        <f t="shared" si="23"/>
        <v>68.400000000000034</v>
      </c>
      <c r="J92" s="176">
        <f t="shared" si="23"/>
        <v>33.099999999999966</v>
      </c>
      <c r="K92" s="561">
        <f>K85-K89</f>
        <v>73.899241935483843</v>
      </c>
      <c r="L92" s="561">
        <f t="shared" ref="L92:O92" si="24">L85-L89</f>
        <v>47.134979225806461</v>
      </c>
      <c r="M92" s="561">
        <f t="shared" si="24"/>
        <v>86.481855514219376</v>
      </c>
      <c r="N92" s="561">
        <f t="shared" si="24"/>
        <v>76.735478429719194</v>
      </c>
      <c r="O92" s="561">
        <f t="shared" si="24"/>
        <v>54.368329590000059</v>
      </c>
    </row>
    <row r="93" spans="1:17">
      <c r="F93" s="101"/>
      <c r="H93" s="147"/>
      <c r="I93" s="147"/>
      <c r="J93" s="177"/>
      <c r="K93" s="447"/>
      <c r="L93" s="447"/>
      <c r="M93" s="447"/>
      <c r="N93" s="447"/>
      <c r="O93" s="447"/>
      <c r="Q93" t="s">
        <v>672</v>
      </c>
    </row>
    <row r="94" spans="1:17">
      <c r="C94" t="s">
        <v>44</v>
      </c>
      <c r="F94" s="101"/>
      <c r="H94" s="178">
        <v>15.4</v>
      </c>
      <c r="I94" s="178">
        <v>15.5</v>
      </c>
      <c r="J94" s="178">
        <v>15.8</v>
      </c>
      <c r="K94" s="424">
        <f>K213</f>
        <v>16.174666666666667</v>
      </c>
      <c r="L94" s="424">
        <f t="shared" ref="L94:O94" si="25">L213</f>
        <v>16.724666666666668</v>
      </c>
      <c r="M94" s="424">
        <f t="shared" si="25"/>
        <v>17.296333333333333</v>
      </c>
      <c r="N94" s="424">
        <f t="shared" si="25"/>
        <v>17.876333333333335</v>
      </c>
      <c r="O94" s="424">
        <f t="shared" si="25"/>
        <v>18.468</v>
      </c>
    </row>
    <row r="95" spans="1:17" ht="13">
      <c r="C95" s="100" t="s">
        <v>7</v>
      </c>
      <c r="F95" s="119"/>
      <c r="H95" s="146">
        <f t="shared" ref="H95:J95" si="26">H92-H94</f>
        <v>34.799999999999962</v>
      </c>
      <c r="I95" s="146">
        <f t="shared" si="26"/>
        <v>52.900000000000034</v>
      </c>
      <c r="J95" s="146">
        <f t="shared" si="26"/>
        <v>17.299999999999965</v>
      </c>
      <c r="K95" s="214">
        <f>K92-K94</f>
        <v>57.724575268817176</v>
      </c>
      <c r="L95" s="214">
        <f t="shared" ref="L95:O95" si="27">L92-L94</f>
        <v>30.410312559139793</v>
      </c>
      <c r="M95" s="214">
        <f t="shared" si="27"/>
        <v>69.185522180886039</v>
      </c>
      <c r="N95" s="214">
        <f t="shared" si="27"/>
        <v>58.859145096385859</v>
      </c>
      <c r="O95" s="214">
        <f t="shared" si="27"/>
        <v>35.900329590000055</v>
      </c>
    </row>
    <row r="96" spans="1:17" ht="6" customHeight="1">
      <c r="C96" s="100"/>
      <c r="F96" s="119"/>
      <c r="H96" s="150"/>
      <c r="I96" s="150"/>
      <c r="J96" s="150"/>
      <c r="K96" s="448"/>
      <c r="L96" s="448"/>
      <c r="M96" s="448"/>
      <c r="N96" s="448"/>
      <c r="O96" s="448"/>
    </row>
    <row r="97" spans="2:16">
      <c r="C97" s="19" t="s">
        <v>65</v>
      </c>
      <c r="F97" s="101" t="s">
        <v>682</v>
      </c>
      <c r="H97" s="179">
        <v>15</v>
      </c>
      <c r="I97" s="179">
        <v>15</v>
      </c>
      <c r="J97" s="611">
        <v>14</v>
      </c>
      <c r="K97" s="424">
        <f>K318</f>
        <v>12</v>
      </c>
      <c r="L97" s="424">
        <f t="shared" ref="L97:O97" si="28">L318</f>
        <v>10.5</v>
      </c>
      <c r="M97" s="424">
        <f t="shared" si="28"/>
        <v>9</v>
      </c>
      <c r="N97" s="424">
        <f t="shared" si="28"/>
        <v>7.5</v>
      </c>
      <c r="O97" s="424">
        <f t="shared" si="28"/>
        <v>6</v>
      </c>
    </row>
    <row r="98" spans="2:16" ht="13">
      <c r="C98" s="108" t="s">
        <v>67</v>
      </c>
      <c r="F98" s="119"/>
      <c r="H98" s="146">
        <f t="shared" ref="H98:O98" si="29">H95-H97</f>
        <v>19.799999999999962</v>
      </c>
      <c r="I98" s="146">
        <f t="shared" si="29"/>
        <v>37.900000000000034</v>
      </c>
      <c r="J98" s="214">
        <f t="shared" si="29"/>
        <v>3.2999999999999652</v>
      </c>
      <c r="K98" s="214">
        <f t="shared" si="29"/>
        <v>45.724575268817176</v>
      </c>
      <c r="L98" s="214">
        <f t="shared" si="29"/>
        <v>19.910312559139793</v>
      </c>
      <c r="M98" s="214">
        <f t="shared" si="29"/>
        <v>60.185522180886039</v>
      </c>
      <c r="N98" s="214">
        <f t="shared" si="29"/>
        <v>51.359145096385859</v>
      </c>
      <c r="O98" s="214">
        <f t="shared" si="29"/>
        <v>29.900329590000055</v>
      </c>
    </row>
    <row r="99" spans="2:16" ht="6" customHeight="1">
      <c r="C99" s="100"/>
      <c r="F99" s="119"/>
      <c r="H99" s="180"/>
      <c r="I99" s="180"/>
      <c r="J99" s="180"/>
      <c r="K99" s="449"/>
      <c r="L99" s="448"/>
      <c r="M99" s="176"/>
      <c r="N99" s="176"/>
      <c r="O99" s="448"/>
    </row>
    <row r="100" spans="2:16">
      <c r="C100" t="s">
        <v>82</v>
      </c>
      <c r="F100" s="101"/>
      <c r="H100" s="143">
        <v>3</v>
      </c>
      <c r="I100" s="143">
        <v>8</v>
      </c>
      <c r="J100" s="143">
        <v>0</v>
      </c>
      <c r="K100" s="427">
        <f>K236</f>
        <v>14.253601344086011</v>
      </c>
      <c r="L100" s="427">
        <f t="shared" ref="L100:O100" si="30">L236</f>
        <v>5.2186093956989277</v>
      </c>
      <c r="M100" s="427">
        <f t="shared" si="30"/>
        <v>19.314932763310111</v>
      </c>
      <c r="N100" s="427">
        <f t="shared" si="30"/>
        <v>16.22570078373505</v>
      </c>
      <c r="O100" s="427">
        <f t="shared" si="30"/>
        <v>8.7151153565000179</v>
      </c>
    </row>
    <row r="101" spans="2:16">
      <c r="C101" t="s">
        <v>127</v>
      </c>
      <c r="F101" s="101"/>
      <c r="H101" s="168">
        <v>2.7</v>
      </c>
      <c r="I101" s="168">
        <v>6.2</v>
      </c>
      <c r="J101" s="168">
        <v>1.1000000000000001</v>
      </c>
      <c r="K101" s="427">
        <f>K237</f>
        <v>1.75</v>
      </c>
      <c r="L101" s="427">
        <f t="shared" ref="L101:O101" si="31">L237</f>
        <v>1.75</v>
      </c>
      <c r="M101" s="427">
        <f t="shared" si="31"/>
        <v>1.75</v>
      </c>
      <c r="N101" s="427">
        <f t="shared" si="31"/>
        <v>1.75</v>
      </c>
      <c r="O101" s="427">
        <f t="shared" si="31"/>
        <v>1.75</v>
      </c>
    </row>
    <row r="102" spans="2:16" ht="13">
      <c r="C102" s="118" t="s">
        <v>83</v>
      </c>
      <c r="F102" s="119"/>
      <c r="H102" s="181">
        <f t="shared" ref="H102:J102" si="32">SUM(H100:H101)</f>
        <v>5.7</v>
      </c>
      <c r="I102" s="181">
        <f t="shared" si="32"/>
        <v>14.2</v>
      </c>
      <c r="J102" s="181">
        <f t="shared" si="32"/>
        <v>1.1000000000000001</v>
      </c>
      <c r="K102" s="591">
        <f>SUM(K100:K101)</f>
        <v>16.003601344086011</v>
      </c>
      <c r="L102" s="591">
        <f t="shared" ref="L102" si="33">SUM(L100:L101)</f>
        <v>6.9686093956989277</v>
      </c>
      <c r="M102" s="591">
        <f t="shared" ref="M102" si="34">SUM(M100:M101)</f>
        <v>21.064932763310111</v>
      </c>
      <c r="N102" s="591">
        <f t="shared" ref="N102" si="35">SUM(N100:N101)</f>
        <v>17.97570078373505</v>
      </c>
      <c r="O102" s="591">
        <f t="shared" ref="O102" si="36">SUM(O100:O101)</f>
        <v>10.465115356500018</v>
      </c>
    </row>
    <row r="103" spans="2:16">
      <c r="F103" s="101"/>
    </row>
    <row r="104" spans="2:16" ht="13.5" thickBot="1">
      <c r="C104" s="182" t="s">
        <v>8</v>
      </c>
      <c r="D104" s="118"/>
      <c r="E104" s="118"/>
      <c r="F104" s="119"/>
      <c r="H104" s="183">
        <f t="shared" ref="H104:O104" si="37">H98-H102</f>
        <v>14.099999999999962</v>
      </c>
      <c r="I104" s="183">
        <f t="shared" si="37"/>
        <v>23.700000000000035</v>
      </c>
      <c r="J104" s="183">
        <f t="shared" si="37"/>
        <v>2.1999999999999651</v>
      </c>
      <c r="K104" s="183">
        <f t="shared" si="37"/>
        <v>29.720973924731165</v>
      </c>
      <c r="L104" s="183">
        <f>L98-L102</f>
        <v>12.941703163440867</v>
      </c>
      <c r="M104" s="183">
        <f t="shared" si="37"/>
        <v>39.120589417575928</v>
      </c>
      <c r="N104" s="183">
        <f t="shared" si="37"/>
        <v>33.383444312650809</v>
      </c>
      <c r="O104" s="183">
        <f t="shared" si="37"/>
        <v>19.435214233500037</v>
      </c>
    </row>
    <row r="105" spans="2:16" ht="13.5" thickTop="1">
      <c r="C105" s="184"/>
      <c r="F105"/>
      <c r="H105" s="185"/>
      <c r="I105" s="185"/>
      <c r="J105" s="185"/>
      <c r="K105" s="185"/>
      <c r="L105" s="185"/>
      <c r="M105" s="185"/>
      <c r="N105" s="185"/>
      <c r="O105" s="185"/>
    </row>
    <row r="106" spans="2:16">
      <c r="H106" s="160"/>
      <c r="I106" s="160"/>
      <c r="J106" s="160"/>
      <c r="K106" s="450"/>
      <c r="L106" s="450"/>
      <c r="M106" s="450"/>
      <c r="N106" s="450"/>
      <c r="O106" s="450"/>
    </row>
    <row r="107" spans="2:16" ht="13">
      <c r="B107" s="186" t="s">
        <v>36</v>
      </c>
      <c r="C107" s="5"/>
      <c r="D107" s="5"/>
      <c r="E107" s="5"/>
      <c r="F107" s="187"/>
      <c r="G107" s="5"/>
      <c r="H107" s="188"/>
      <c r="I107" s="188"/>
      <c r="J107" s="188"/>
      <c r="K107" s="451"/>
      <c r="L107" s="451"/>
      <c r="M107" s="451"/>
      <c r="N107" s="451"/>
      <c r="O107" s="452"/>
    </row>
    <row r="108" spans="2:16" ht="13">
      <c r="B108" s="6"/>
      <c r="C108" t="s">
        <v>37</v>
      </c>
      <c r="H108" s="189">
        <f>H92/H85</f>
        <v>0.23512880562060876</v>
      </c>
      <c r="I108" s="189">
        <f>I92/I85</f>
        <v>0.28909551986475074</v>
      </c>
      <c r="J108" s="189">
        <f>J92/J85</f>
        <v>0.16162109374999983</v>
      </c>
      <c r="K108" s="189"/>
      <c r="L108" s="189"/>
      <c r="M108" s="189"/>
      <c r="N108" s="189"/>
      <c r="O108" s="453"/>
      <c r="P108" s="190"/>
    </row>
    <row r="109" spans="2:16" ht="13">
      <c r="B109" s="6"/>
      <c r="C109" t="s">
        <v>38</v>
      </c>
      <c r="F109" s="191"/>
      <c r="H109" s="189">
        <f>H95/H85</f>
        <v>0.16299765807962513</v>
      </c>
      <c r="I109" s="189">
        <f>I95/I85</f>
        <v>0.22358410819949293</v>
      </c>
      <c r="J109" s="189">
        <f>J95/J85</f>
        <v>8.4472656249999833E-2</v>
      </c>
      <c r="K109" s="189"/>
      <c r="L109" s="189"/>
      <c r="M109" s="189"/>
      <c r="N109" s="189"/>
      <c r="O109" s="453"/>
    </row>
    <row r="110" spans="2:16" ht="13">
      <c r="B110" s="12"/>
      <c r="C110" s="11" t="s">
        <v>110</v>
      </c>
      <c r="D110" s="11"/>
      <c r="E110" s="11"/>
      <c r="F110" s="192"/>
      <c r="G110" s="11"/>
      <c r="H110" s="193"/>
      <c r="I110" s="193"/>
      <c r="J110" s="194">
        <f>J104/J184</f>
        <v>8.5106382978722053E-3</v>
      </c>
      <c r="K110" s="194"/>
      <c r="L110" s="194"/>
      <c r="M110" s="194"/>
      <c r="N110" s="194"/>
      <c r="O110" s="454"/>
    </row>
    <row r="111" spans="2:16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</row>
    <row r="112" spans="2:16" ht="13">
      <c r="C112" s="195"/>
      <c r="F112" s="191"/>
      <c r="H112" s="196"/>
      <c r="I112" s="196"/>
      <c r="J112" s="196"/>
      <c r="K112" s="196"/>
      <c r="L112" s="196"/>
      <c r="M112" s="196"/>
      <c r="N112" s="196"/>
      <c r="O112" s="196"/>
    </row>
    <row r="113" spans="1:16" ht="12.75" customHeight="1">
      <c r="A113" s="91"/>
      <c r="B113" s="1"/>
      <c r="C113" s="3"/>
      <c r="D113" s="3"/>
      <c r="E113" s="3"/>
      <c r="F113" s="90"/>
      <c r="G113" s="3"/>
      <c r="H113" s="3"/>
      <c r="I113" s="3"/>
      <c r="J113" s="3"/>
      <c r="K113" s="3"/>
      <c r="L113" s="3"/>
      <c r="M113" s="3"/>
      <c r="N113" s="3"/>
      <c r="O113" s="128">
        <f>$O$1</f>
        <v>0</v>
      </c>
    </row>
    <row r="114" spans="1:16" ht="23">
      <c r="B114" s="1" t="str">
        <f>B$2</f>
        <v xml:space="preserve">Blu Containers Company </v>
      </c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</row>
    <row r="115" spans="1:16" ht="18">
      <c r="B115" s="93" t="s">
        <v>45</v>
      </c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</row>
    <row r="116" spans="1:16" ht="3" customHeight="1" thickBot="1">
      <c r="A116" s="92"/>
      <c r="B116" s="358"/>
      <c r="C116" s="359"/>
      <c r="D116" s="359"/>
      <c r="E116" s="359"/>
      <c r="F116" s="360"/>
      <c r="G116" s="359"/>
      <c r="H116" s="359"/>
      <c r="I116" s="359"/>
      <c r="J116" s="359"/>
      <c r="K116" s="359"/>
      <c r="L116" s="359"/>
      <c r="M116" s="359"/>
      <c r="N116" s="359"/>
      <c r="O116" s="359"/>
    </row>
    <row r="117" spans="1:16" ht="13">
      <c r="B117" s="161" t="s">
        <v>143</v>
      </c>
      <c r="F117"/>
    </row>
    <row r="118" spans="1:16" ht="13">
      <c r="F118"/>
      <c r="K118" s="98" t="s">
        <v>2</v>
      </c>
      <c r="L118" s="20"/>
      <c r="M118" s="20"/>
      <c r="N118" s="20"/>
      <c r="O118" s="20"/>
    </row>
    <row r="119" spans="1:16" ht="13">
      <c r="B119" s="197"/>
      <c r="F119" s="198"/>
      <c r="G119" s="199"/>
      <c r="H119" s="349">
        <f t="shared" ref="H119:J119" si="38">H$7</f>
        <v>2020</v>
      </c>
      <c r="I119" s="349">
        <f t="shared" si="38"/>
        <v>2021</v>
      </c>
      <c r="J119" s="349">
        <f t="shared" si="38"/>
        <v>2022</v>
      </c>
      <c r="K119" s="351">
        <f>K$7</f>
        <v>2023</v>
      </c>
      <c r="L119" s="351">
        <f>L$7</f>
        <v>2024</v>
      </c>
      <c r="M119" s="351">
        <f>M$7</f>
        <v>2025</v>
      </c>
      <c r="N119" s="351">
        <f>N$7</f>
        <v>2026</v>
      </c>
      <c r="O119" s="351">
        <f>O$7</f>
        <v>2027</v>
      </c>
    </row>
    <row r="120" spans="1:16" ht="13">
      <c r="B120" s="118" t="s">
        <v>9</v>
      </c>
      <c r="F120"/>
    </row>
    <row r="121" spans="1:16">
      <c r="C121" t="s">
        <v>8</v>
      </c>
      <c r="F121"/>
      <c r="G121" s="201"/>
      <c r="H121" s="202">
        <v>14.099999999999962</v>
      </c>
      <c r="I121" s="202">
        <v>23.700000000000035</v>
      </c>
      <c r="J121" s="202">
        <v>2.2000000000000002</v>
      </c>
      <c r="K121" s="205">
        <f>K104</f>
        <v>29.720973924731165</v>
      </c>
      <c r="L121" s="205">
        <f t="shared" ref="L121:O121" si="39">L104</f>
        <v>12.941703163440867</v>
      </c>
      <c r="M121" s="205">
        <f t="shared" si="39"/>
        <v>39.120589417575928</v>
      </c>
      <c r="N121" s="205">
        <f t="shared" si="39"/>
        <v>33.383444312650809</v>
      </c>
      <c r="O121" s="205">
        <f t="shared" si="39"/>
        <v>19.435214233500037</v>
      </c>
    </row>
    <row r="122" spans="1:16">
      <c r="C122" t="s">
        <v>6</v>
      </c>
      <c r="F122"/>
      <c r="G122" s="201"/>
      <c r="H122" s="202">
        <v>15.4</v>
      </c>
      <c r="I122" s="202">
        <v>15.5</v>
      </c>
      <c r="J122" s="202">
        <v>15.8</v>
      </c>
      <c r="K122" s="205">
        <f>K94</f>
        <v>16.174666666666667</v>
      </c>
      <c r="L122" s="205">
        <f t="shared" ref="L122:O122" si="40">L94</f>
        <v>16.724666666666668</v>
      </c>
      <c r="M122" s="205">
        <f t="shared" si="40"/>
        <v>17.296333333333333</v>
      </c>
      <c r="N122" s="205">
        <f t="shared" si="40"/>
        <v>17.876333333333335</v>
      </c>
      <c r="O122" s="205">
        <f t="shared" si="40"/>
        <v>18.468</v>
      </c>
    </row>
    <row r="123" spans="1:16">
      <c r="C123" t="s">
        <v>127</v>
      </c>
      <c r="F123"/>
      <c r="G123" s="204"/>
      <c r="H123" s="202">
        <v>2.7</v>
      </c>
      <c r="I123" s="202">
        <v>6.2</v>
      </c>
      <c r="J123" s="202">
        <v>1.1000000000000001</v>
      </c>
      <c r="K123" s="205">
        <f>+K101</f>
        <v>1.75</v>
      </c>
      <c r="L123" s="205">
        <f t="shared" ref="L123:O123" si="41">+L101</f>
        <v>1.75</v>
      </c>
      <c r="M123" s="205">
        <f t="shared" si="41"/>
        <v>1.75</v>
      </c>
      <c r="N123" s="205">
        <f t="shared" si="41"/>
        <v>1.75</v>
      </c>
      <c r="O123" s="205">
        <f t="shared" si="41"/>
        <v>1.75</v>
      </c>
    </row>
    <row r="124" spans="1:16">
      <c r="C124" t="s">
        <v>111</v>
      </c>
      <c r="F124"/>
      <c r="G124" s="206"/>
      <c r="H124" s="207">
        <v>0</v>
      </c>
      <c r="I124" s="207">
        <v>0</v>
      </c>
      <c r="J124" s="208">
        <v>0</v>
      </c>
      <c r="K124" s="424">
        <f>K274</f>
        <v>-2.0659834290764323</v>
      </c>
      <c r="L124" s="424">
        <f t="shared" ref="L124:O124" si="42">L274</f>
        <v>6.5517358817469855</v>
      </c>
      <c r="M124" s="424">
        <f t="shared" si="42"/>
        <v>-1.2735903591601243</v>
      </c>
      <c r="N124" s="424">
        <f t="shared" si="42"/>
        <v>-1.1359731018459911</v>
      </c>
      <c r="O124" s="424">
        <f t="shared" si="42"/>
        <v>3.2169856855465326</v>
      </c>
    </row>
    <row r="125" spans="1:16" ht="13">
      <c r="C125" s="100" t="s">
        <v>11</v>
      </c>
      <c r="F125"/>
      <c r="G125" s="150"/>
      <c r="H125" s="209">
        <f>SUM(H121:H124)</f>
        <v>32.199999999999967</v>
      </c>
      <c r="I125" s="209">
        <f>SUM(I121:I124)</f>
        <v>45.400000000000034</v>
      </c>
      <c r="J125" s="209">
        <f>SUM(J121:J124)</f>
        <v>19.100000000000001</v>
      </c>
      <c r="K125" s="214">
        <f>SUM(K121:K124)</f>
        <v>45.579657162321404</v>
      </c>
      <c r="L125" s="214">
        <f t="shared" ref="L125:O125" si="43">SUM(L121:L124)</f>
        <v>37.96810571185452</v>
      </c>
      <c r="M125" s="214">
        <f t="shared" si="43"/>
        <v>56.893332391749141</v>
      </c>
      <c r="N125" s="214">
        <f t="shared" si="43"/>
        <v>51.873804544138153</v>
      </c>
      <c r="O125" s="214">
        <f t="shared" si="43"/>
        <v>42.87019991904657</v>
      </c>
    </row>
    <row r="126" spans="1:16">
      <c r="B126" s="10"/>
      <c r="F126"/>
      <c r="G126" s="160"/>
      <c r="H126" s="210"/>
      <c r="I126" s="210"/>
      <c r="J126" s="210"/>
      <c r="K126" s="160"/>
      <c r="L126" s="160"/>
      <c r="M126" s="160"/>
      <c r="N126" s="160"/>
      <c r="O126" s="160"/>
    </row>
    <row r="127" spans="1:16">
      <c r="B127" s="10"/>
      <c r="F127"/>
      <c r="G127" s="160"/>
      <c r="H127" s="210"/>
      <c r="I127" s="210"/>
      <c r="J127" s="210"/>
      <c r="K127" s="160"/>
      <c r="L127" s="160"/>
      <c r="M127" s="160"/>
      <c r="N127" s="160"/>
      <c r="O127" s="160"/>
    </row>
    <row r="128" spans="1:16" ht="13">
      <c r="B128" s="118" t="s">
        <v>91</v>
      </c>
      <c r="F128"/>
      <c r="G128" s="211"/>
      <c r="H128" s="212"/>
      <c r="I128" s="212"/>
      <c r="J128" s="212"/>
      <c r="K128" s="234"/>
      <c r="L128" s="234"/>
      <c r="M128" s="234"/>
      <c r="N128" s="234"/>
      <c r="O128" s="234"/>
      <c r="P128" t="s">
        <v>673</v>
      </c>
    </row>
    <row r="129" spans="1:16">
      <c r="C129" t="s">
        <v>51</v>
      </c>
      <c r="H129" s="213">
        <v>-14.1</v>
      </c>
      <c r="I129" s="213">
        <v>-15</v>
      </c>
      <c r="J129" s="213">
        <v>-15.5</v>
      </c>
      <c r="K129" s="441">
        <f>-Assumptions!J59</f>
        <v>-16</v>
      </c>
      <c r="L129" s="441">
        <f>-Assumptions!K59</f>
        <v>-17</v>
      </c>
      <c r="M129" s="441">
        <f>-Assumptions!L59</f>
        <v>-17.3</v>
      </c>
      <c r="N129" s="441">
        <f>-Assumptions!M59</f>
        <v>-17.5</v>
      </c>
      <c r="O129" s="441">
        <f>-Assumptions!N59</f>
        <v>-18</v>
      </c>
    </row>
    <row r="130" spans="1:16">
      <c r="C130" t="s">
        <v>10</v>
      </c>
      <c r="H130" s="178">
        <v>-5</v>
      </c>
      <c r="I130" s="178">
        <v>4</v>
      </c>
      <c r="J130" s="178">
        <v>3</v>
      </c>
      <c r="K130" s="442">
        <f>Assumptions!J60</f>
        <v>0</v>
      </c>
      <c r="L130" s="442">
        <f>Assumptions!K60</f>
        <v>0</v>
      </c>
      <c r="M130" s="442">
        <f>Assumptions!L60</f>
        <v>0</v>
      </c>
      <c r="N130" s="442">
        <f>Assumptions!M60</f>
        <v>0</v>
      </c>
      <c r="O130" s="442">
        <f>Assumptions!N60</f>
        <v>0</v>
      </c>
    </row>
    <row r="131" spans="1:16" ht="13">
      <c r="A131" s="118"/>
      <c r="C131" s="118" t="s">
        <v>92</v>
      </c>
      <c r="F131"/>
      <c r="G131" s="150"/>
      <c r="H131" s="214">
        <f t="shared" ref="H131:J131" si="44">SUM(H129:H130)</f>
        <v>-19.100000000000001</v>
      </c>
      <c r="I131" s="214">
        <f t="shared" si="44"/>
        <v>-11</v>
      </c>
      <c r="J131" s="214">
        <f t="shared" si="44"/>
        <v>-12.5</v>
      </c>
      <c r="K131" s="561">
        <f>SUM(K129:K130)</f>
        <v>-16</v>
      </c>
      <c r="L131" s="561">
        <f t="shared" ref="L131:O131" si="45">SUM(L129:L130)</f>
        <v>-17</v>
      </c>
      <c r="M131" s="561">
        <f t="shared" si="45"/>
        <v>-17.3</v>
      </c>
      <c r="N131" s="561">
        <f t="shared" si="45"/>
        <v>-17.5</v>
      </c>
      <c r="O131" s="561">
        <f t="shared" si="45"/>
        <v>-18</v>
      </c>
    </row>
    <row r="132" spans="1:16" ht="13">
      <c r="A132" s="118"/>
      <c r="B132" s="108"/>
      <c r="F132"/>
      <c r="G132" s="150"/>
      <c r="H132" s="215"/>
      <c r="I132" s="215"/>
      <c r="J132" s="216"/>
      <c r="K132" s="217"/>
      <c r="L132" s="217"/>
      <c r="M132" s="217"/>
      <c r="N132" s="217"/>
      <c r="O132" s="217"/>
    </row>
    <row r="133" spans="1:16" ht="13">
      <c r="A133" s="118"/>
      <c r="B133" s="108"/>
      <c r="F133"/>
      <c r="G133" s="150"/>
      <c r="H133" s="215"/>
      <c r="I133" s="215"/>
      <c r="J133" s="215" t="s">
        <v>675</v>
      </c>
      <c r="K133" s="217"/>
      <c r="L133" s="217"/>
      <c r="M133" s="217"/>
      <c r="N133" s="217"/>
      <c r="O133" s="217"/>
    </row>
    <row r="134" spans="1:16" ht="13">
      <c r="A134" s="118"/>
      <c r="B134" s="108" t="s">
        <v>64</v>
      </c>
      <c r="F134"/>
      <c r="G134" s="150"/>
      <c r="H134" s="218"/>
      <c r="I134" s="218"/>
      <c r="J134" s="218"/>
      <c r="K134" s="219"/>
      <c r="L134" s="219"/>
      <c r="M134" s="219"/>
      <c r="N134" s="219"/>
      <c r="O134" s="219"/>
      <c r="P134" t="s">
        <v>674</v>
      </c>
    </row>
    <row r="135" spans="1:16" ht="13">
      <c r="A135" s="118"/>
      <c r="B135" s="108"/>
      <c r="C135" t="s">
        <v>116</v>
      </c>
      <c r="F135"/>
      <c r="G135" s="150"/>
      <c r="H135" s="213">
        <v>0</v>
      </c>
      <c r="I135" s="213">
        <v>0</v>
      </c>
      <c r="J135" s="213">
        <v>0</v>
      </c>
      <c r="K135" s="205">
        <f>K305</f>
        <v>1.0645376226248302</v>
      </c>
      <c r="L135" s="205">
        <f t="shared" ref="L135:O135" si="46">L305</f>
        <v>6.6202349208336582</v>
      </c>
      <c r="M135" s="205">
        <f t="shared" si="46"/>
        <v>-6.7692145082339534</v>
      </c>
      <c r="N135" s="205">
        <f t="shared" si="46"/>
        <v>-0.91555803522453516</v>
      </c>
      <c r="O135" s="205">
        <f t="shared" si="46"/>
        <v>2.235285281269987</v>
      </c>
    </row>
    <row r="136" spans="1:16" ht="13">
      <c r="A136" s="118"/>
      <c r="B136" s="108"/>
      <c r="C136" t="s">
        <v>117</v>
      </c>
      <c r="F136"/>
      <c r="G136" s="150"/>
      <c r="H136" s="213">
        <v>-25</v>
      </c>
      <c r="I136" s="213">
        <v>-25</v>
      </c>
      <c r="J136" s="213">
        <v>-25</v>
      </c>
      <c r="K136" s="205">
        <f>K314</f>
        <v>-25</v>
      </c>
      <c r="L136" s="205">
        <f t="shared" ref="L136:O136" si="47">L314</f>
        <v>-25</v>
      </c>
      <c r="M136" s="205">
        <f t="shared" si="47"/>
        <v>-25</v>
      </c>
      <c r="N136" s="205">
        <f t="shared" si="47"/>
        <v>-25</v>
      </c>
      <c r="O136" s="205">
        <f t="shared" si="47"/>
        <v>-25</v>
      </c>
    </row>
    <row r="137" spans="1:16" ht="13">
      <c r="A137" s="118"/>
      <c r="B137" s="108"/>
      <c r="C137" t="s">
        <v>108</v>
      </c>
      <c r="F137"/>
      <c r="G137" s="150"/>
      <c r="H137" s="213">
        <v>0</v>
      </c>
      <c r="I137" s="213">
        <v>0</v>
      </c>
      <c r="J137" s="213">
        <v>0</v>
      </c>
      <c r="K137" s="205">
        <f>K337</f>
        <v>0</v>
      </c>
      <c r="L137" s="205">
        <f t="shared" ref="L137:O137" si="48">L337</f>
        <v>0</v>
      </c>
      <c r="M137" s="205">
        <f t="shared" si="48"/>
        <v>0</v>
      </c>
      <c r="N137" s="205">
        <f t="shared" si="48"/>
        <v>0</v>
      </c>
      <c r="O137" s="205">
        <f t="shared" si="48"/>
        <v>0</v>
      </c>
    </row>
    <row r="138" spans="1:16" ht="13">
      <c r="A138" s="118"/>
      <c r="B138" s="108"/>
      <c r="C138" t="s">
        <v>109</v>
      </c>
      <c r="F138"/>
      <c r="G138" s="150"/>
      <c r="H138" s="178">
        <v>-2.8</v>
      </c>
      <c r="I138" s="178">
        <v>-4.7</v>
      </c>
      <c r="J138" s="178">
        <v>-2.4</v>
      </c>
      <c r="K138" s="424">
        <f>-K347</f>
        <v>-5.9441947849462338</v>
      </c>
      <c r="L138" s="424">
        <f t="shared" ref="L138:O138" si="49">-L347</f>
        <v>-2.5883406326881735</v>
      </c>
      <c r="M138" s="424">
        <f t="shared" si="49"/>
        <v>-7.8241178835151857</v>
      </c>
      <c r="N138" s="424">
        <f t="shared" si="49"/>
        <v>-6.6766888625301624</v>
      </c>
      <c r="O138" s="424">
        <f t="shared" si="49"/>
        <v>-3.8870428467000075</v>
      </c>
    </row>
    <row r="139" spans="1:16" ht="13">
      <c r="A139" s="118"/>
      <c r="B139" s="108"/>
      <c r="C139" s="118" t="s">
        <v>93</v>
      </c>
      <c r="F139"/>
      <c r="G139" s="150"/>
      <c r="H139" s="214">
        <f t="shared" ref="H139:J139" si="50">SUM(H135:H138)</f>
        <v>-27.8</v>
      </c>
      <c r="I139" s="214">
        <f t="shared" si="50"/>
        <v>-29.7</v>
      </c>
      <c r="J139" s="214">
        <f t="shared" si="50"/>
        <v>-27.4</v>
      </c>
      <c r="K139" s="561">
        <f>SUM(K135:K138)</f>
        <v>-29.879657162321404</v>
      </c>
      <c r="L139" s="561">
        <f t="shared" ref="L139:O139" si="51">SUM(L135:L138)</f>
        <v>-20.968105711854513</v>
      </c>
      <c r="M139" s="561">
        <f t="shared" si="51"/>
        <v>-39.593332391749144</v>
      </c>
      <c r="N139" s="561">
        <f t="shared" si="51"/>
        <v>-32.592246897754698</v>
      </c>
      <c r="O139" s="561">
        <f t="shared" si="51"/>
        <v>-26.651757565430021</v>
      </c>
    </row>
    <row r="140" spans="1:16" ht="13">
      <c r="A140" s="118"/>
      <c r="B140" s="108"/>
      <c r="F140"/>
      <c r="G140" s="150"/>
      <c r="H140" s="218"/>
      <c r="I140" s="218"/>
      <c r="J140" s="218"/>
      <c r="K140" s="218"/>
      <c r="L140" s="218"/>
      <c r="M140" s="218"/>
      <c r="N140" s="218"/>
      <c r="O140" s="218"/>
    </row>
    <row r="141" spans="1:16" ht="13">
      <c r="A141" s="118"/>
      <c r="C141" s="100"/>
      <c r="F141"/>
      <c r="G141" s="150"/>
      <c r="H141" s="218"/>
      <c r="I141" s="218"/>
      <c r="J141" s="218"/>
      <c r="K141" s="218"/>
      <c r="L141" s="218"/>
      <c r="M141" s="218"/>
      <c r="N141" s="218"/>
      <c r="O141" s="218"/>
    </row>
    <row r="142" spans="1:16" ht="13">
      <c r="A142" s="118"/>
      <c r="B142" s="30" t="s">
        <v>52</v>
      </c>
      <c r="C142" s="220"/>
      <c r="D142" s="5"/>
      <c r="E142" s="5"/>
      <c r="F142" s="613" t="s">
        <v>676</v>
      </c>
      <c r="G142" s="221"/>
      <c r="H142" s="222">
        <f t="shared" ref="H142:O142" si="52">H139+H131+H125</f>
        <v>-14.700000000000038</v>
      </c>
      <c r="I142" s="222">
        <f t="shared" si="52"/>
        <v>4.7000000000000313</v>
      </c>
      <c r="J142" s="222">
        <f>J139+J131+J125</f>
        <v>-20.799999999999997</v>
      </c>
      <c r="K142" s="222">
        <f>K139+K131+K125</f>
        <v>-0.30000000000000426</v>
      </c>
      <c r="L142" s="222">
        <f>L139+L131+L125</f>
        <v>0</v>
      </c>
      <c r="M142" s="222">
        <f t="shared" si="52"/>
        <v>0</v>
      </c>
      <c r="N142" s="222">
        <f t="shared" si="52"/>
        <v>1.7815576463834546</v>
      </c>
      <c r="O142" s="222">
        <f t="shared" si="52"/>
        <v>-1.7815576463834475</v>
      </c>
    </row>
    <row r="143" spans="1:16" ht="13">
      <c r="A143" s="118"/>
      <c r="B143" s="6" t="s">
        <v>53</v>
      </c>
      <c r="C143" s="100"/>
      <c r="F143"/>
      <c r="G143" s="150"/>
      <c r="H143" s="223">
        <v>31.1</v>
      </c>
      <c r="I143" s="224">
        <f t="shared" ref="I143:J143" si="53">+H144</f>
        <v>16.399999999999963</v>
      </c>
      <c r="J143" s="224">
        <f t="shared" si="53"/>
        <v>21.099999999999994</v>
      </c>
      <c r="K143" s="439">
        <f>J144</f>
        <v>0.29999999999999716</v>
      </c>
      <c r="L143" s="439">
        <f t="shared" ref="L143:O143" si="54">K144</f>
        <v>-7.1054273576010019E-15</v>
      </c>
      <c r="M143" s="439">
        <f t="shared" si="54"/>
        <v>-7.1054273576010019E-15</v>
      </c>
      <c r="N143" s="439">
        <f t="shared" si="54"/>
        <v>-7.1054273576010019E-15</v>
      </c>
      <c r="O143" s="439">
        <f t="shared" si="54"/>
        <v>1.7815576463834475</v>
      </c>
    </row>
    <row r="144" spans="1:16" ht="13">
      <c r="A144" s="118"/>
      <c r="B144" s="225" t="s">
        <v>54</v>
      </c>
      <c r="C144" s="156"/>
      <c r="D144" s="11"/>
      <c r="E144" s="11"/>
      <c r="F144" s="11"/>
      <c r="G144" s="159"/>
      <c r="H144" s="226">
        <f t="shared" ref="H144:J144" si="55">H143+H142</f>
        <v>16.399999999999963</v>
      </c>
      <c r="I144" s="226">
        <f>I143+I142</f>
        <v>21.099999999999994</v>
      </c>
      <c r="J144" s="226">
        <f t="shared" si="55"/>
        <v>0.29999999999999716</v>
      </c>
      <c r="K144" s="440">
        <f>K142+K143</f>
        <v>-7.1054273576010019E-15</v>
      </c>
      <c r="L144" s="440">
        <f t="shared" ref="L144:O144" si="56">L142+L143</f>
        <v>-7.1054273576010019E-15</v>
      </c>
      <c r="M144" s="440">
        <f t="shared" si="56"/>
        <v>-7.1054273576010019E-15</v>
      </c>
      <c r="N144" s="440">
        <f t="shared" si="56"/>
        <v>1.7815576463834475</v>
      </c>
      <c r="O144" s="440">
        <f t="shared" si="56"/>
        <v>0</v>
      </c>
    </row>
    <row r="145" spans="1:19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</row>
    <row r="146" spans="1:19">
      <c r="F146"/>
    </row>
    <row r="147" spans="1:19" ht="12.75" customHeight="1">
      <c r="A147" s="91"/>
      <c r="B147" s="1"/>
      <c r="C147" s="3"/>
      <c r="D147" s="3"/>
      <c r="E147" s="3"/>
      <c r="F147" s="90"/>
      <c r="G147" s="3"/>
      <c r="H147" s="3"/>
      <c r="I147" s="3"/>
      <c r="J147" s="3"/>
      <c r="K147" s="3"/>
      <c r="L147" s="3"/>
      <c r="M147" s="3"/>
      <c r="N147" s="3"/>
      <c r="O147" s="128">
        <f>$O$1</f>
        <v>0</v>
      </c>
    </row>
    <row r="148" spans="1:19" ht="23">
      <c r="B148" s="1" t="str">
        <f>B$2</f>
        <v xml:space="preserve">Blu Containers Company 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</row>
    <row r="149" spans="1:19" ht="18">
      <c r="B149" s="93" t="s">
        <v>94</v>
      </c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</row>
    <row r="150" spans="1:19" ht="3" customHeight="1" thickBot="1">
      <c r="A150" s="92"/>
      <c r="B150" s="358"/>
      <c r="C150" s="359"/>
      <c r="D150" s="359"/>
      <c r="E150" s="359"/>
      <c r="F150" s="360"/>
      <c r="G150" s="359"/>
      <c r="H150" s="359"/>
      <c r="I150" s="359"/>
      <c r="J150" s="359"/>
      <c r="K150" s="359"/>
      <c r="L150" s="359"/>
      <c r="M150" s="359"/>
      <c r="N150" s="359"/>
      <c r="O150" s="359"/>
    </row>
    <row r="151" spans="1:19" ht="13">
      <c r="B151" s="161" t="s">
        <v>143</v>
      </c>
      <c r="F151"/>
      <c r="O151" s="19"/>
    </row>
    <row r="152" spans="1:19" ht="13">
      <c r="F152"/>
      <c r="H152" s="227"/>
      <c r="I152" s="227"/>
      <c r="J152" s="227"/>
      <c r="K152" s="98" t="s">
        <v>2</v>
      </c>
      <c r="L152" s="20"/>
      <c r="M152" s="20"/>
      <c r="N152" s="20"/>
      <c r="O152" s="20"/>
    </row>
    <row r="153" spans="1:19" ht="13">
      <c r="B153" s="228"/>
      <c r="F153" s="200"/>
      <c r="G153" s="199"/>
      <c r="H153" s="349">
        <f t="shared" ref="H153:J153" si="57">H$7</f>
        <v>2020</v>
      </c>
      <c r="I153" s="349">
        <f t="shared" si="57"/>
        <v>2021</v>
      </c>
      <c r="J153" s="349">
        <f t="shared" si="57"/>
        <v>2022</v>
      </c>
      <c r="K153" s="351">
        <f>K$7</f>
        <v>2023</v>
      </c>
      <c r="L153" s="351">
        <f>L$7</f>
        <v>2024</v>
      </c>
      <c r="M153" s="351">
        <f>M$7</f>
        <v>2025</v>
      </c>
      <c r="N153" s="351">
        <f>N$7</f>
        <v>2026</v>
      </c>
      <c r="O153" s="351">
        <f>O$7</f>
        <v>2027</v>
      </c>
    </row>
    <row r="154" spans="1:19" ht="13">
      <c r="B154" s="228"/>
      <c r="F154"/>
      <c r="G154" s="199"/>
      <c r="H154" s="200"/>
      <c r="J154" s="200"/>
      <c r="K154" s="200"/>
      <c r="L154" s="200"/>
      <c r="M154" s="200"/>
      <c r="N154" s="200"/>
      <c r="O154" s="200"/>
    </row>
    <row r="155" spans="1:19" ht="13">
      <c r="B155" s="118" t="s">
        <v>12</v>
      </c>
      <c r="F155"/>
    </row>
    <row r="156" spans="1:19">
      <c r="C156" t="s">
        <v>13</v>
      </c>
      <c r="F156" s="101"/>
      <c r="G156" s="206"/>
      <c r="H156" s="213">
        <v>16.399999999999963</v>
      </c>
      <c r="I156" s="213">
        <v>21.099999999999994</v>
      </c>
      <c r="J156" s="213">
        <v>0.3</v>
      </c>
      <c r="K156" s="436">
        <f>K144</f>
        <v>-7.1054273576010019E-15</v>
      </c>
      <c r="L156" s="436">
        <f t="shared" ref="L156:O156" si="58">L144</f>
        <v>-7.1054273576010019E-15</v>
      </c>
      <c r="M156" s="436">
        <f t="shared" si="58"/>
        <v>-7.1054273576010019E-15</v>
      </c>
      <c r="N156" s="436">
        <f t="shared" si="58"/>
        <v>1.7815576463834475</v>
      </c>
      <c r="O156" s="436">
        <f t="shared" si="58"/>
        <v>0</v>
      </c>
      <c r="R156" s="181"/>
      <c r="S156" s="181"/>
    </row>
    <row r="157" spans="1:19">
      <c r="C157" t="s">
        <v>14</v>
      </c>
      <c r="F157" s="101"/>
      <c r="G157" s="206"/>
      <c r="H157" s="213">
        <v>27</v>
      </c>
      <c r="I157" s="213">
        <v>27.8</v>
      </c>
      <c r="J157" s="213">
        <v>28.3</v>
      </c>
      <c r="K157" s="205">
        <f>K266</f>
        <v>33.200494918250108</v>
      </c>
      <c r="L157" s="205">
        <f t="shared" ref="L157:O157" si="59">L266</f>
        <v>28.080789762030676</v>
      </c>
      <c r="M157" s="205">
        <f t="shared" si="59"/>
        <v>30.81984751302873</v>
      </c>
      <c r="N157" s="205">
        <f t="shared" si="59"/>
        <v>30.819677190824109</v>
      </c>
      <c r="O157" s="205">
        <f t="shared" si="59"/>
        <v>29.388807724931514</v>
      </c>
    </row>
    <row r="158" spans="1:19">
      <c r="C158" t="s">
        <v>15</v>
      </c>
      <c r="F158" s="101"/>
      <c r="G158" s="206"/>
      <c r="H158" s="213">
        <v>36.5</v>
      </c>
      <c r="I158" s="213">
        <v>36.1</v>
      </c>
      <c r="J158" s="213">
        <v>35.1</v>
      </c>
      <c r="K158" s="205">
        <f>K267</f>
        <v>33.501588599204595</v>
      </c>
      <c r="L158" s="205">
        <f t="shared" ref="L158:O158" si="60">L267</f>
        <v>32.409890750925442</v>
      </c>
      <c r="M158" s="205">
        <f t="shared" si="60"/>
        <v>31.350684269945386</v>
      </c>
      <c r="N158" s="205">
        <f t="shared" si="60"/>
        <v>32.936000675597398</v>
      </c>
      <c r="O158" s="205">
        <f t="shared" si="60"/>
        <v>31.578709681109583</v>
      </c>
    </row>
    <row r="159" spans="1:19">
      <c r="C159" t="s">
        <v>138</v>
      </c>
      <c r="F159" s="101"/>
      <c r="G159" s="229"/>
      <c r="H159" s="213">
        <v>14.6</v>
      </c>
      <c r="I159" s="213">
        <v>14.4</v>
      </c>
      <c r="J159" s="213">
        <v>14.9</v>
      </c>
      <c r="K159" s="205">
        <f>K268</f>
        <v>14.357823685373399</v>
      </c>
      <c r="L159" s="205">
        <f t="shared" ref="L159:O159" si="61">L268</f>
        <v>14.958411115811742</v>
      </c>
      <c r="M159" s="205">
        <f t="shared" si="61"/>
        <v>15.675342134972693</v>
      </c>
      <c r="N159" s="205">
        <f t="shared" si="61"/>
        <v>16.468000337798699</v>
      </c>
      <c r="O159" s="205">
        <f t="shared" si="61"/>
        <v>17.224750735150682</v>
      </c>
    </row>
    <row r="160" spans="1:19">
      <c r="C160" s="19" t="s">
        <v>10</v>
      </c>
      <c r="F160" s="101"/>
      <c r="G160" s="229"/>
      <c r="H160" s="178">
        <v>1.4</v>
      </c>
      <c r="I160" s="178">
        <v>1.8</v>
      </c>
      <c r="J160" s="178">
        <v>1.2</v>
      </c>
      <c r="K160" s="205">
        <f>K269</f>
        <v>1.4357823685373399</v>
      </c>
      <c r="L160" s="205">
        <f t="shared" ref="L160:O160" si="62">L269</f>
        <v>1.4958411115811743</v>
      </c>
      <c r="M160" s="205">
        <f t="shared" si="62"/>
        <v>1.5675342134972692</v>
      </c>
      <c r="N160" s="205">
        <f t="shared" si="62"/>
        <v>1.6468000337798698</v>
      </c>
      <c r="O160" s="205">
        <f t="shared" si="62"/>
        <v>1.7224750735150682</v>
      </c>
    </row>
    <row r="161" spans="2:15" ht="13">
      <c r="C161" s="100" t="s">
        <v>16</v>
      </c>
      <c r="F161" s="119"/>
      <c r="G161" s="147"/>
      <c r="H161" s="203">
        <f t="shared" ref="H161:J161" si="63">SUM(H156:H160)</f>
        <v>95.899999999999963</v>
      </c>
      <c r="I161" s="203">
        <f t="shared" si="63"/>
        <v>101.2</v>
      </c>
      <c r="J161" s="203">
        <f t="shared" si="63"/>
        <v>79.800000000000011</v>
      </c>
      <c r="K161" s="438">
        <f>SUM(K156:K160)</f>
        <v>82.495689571365446</v>
      </c>
      <c r="L161" s="438">
        <f t="shared" ref="L161:O161" si="64">SUM(L156:L160)</f>
        <v>76.944932740349032</v>
      </c>
      <c r="M161" s="438">
        <f t="shared" si="64"/>
        <v>79.413408131444072</v>
      </c>
      <c r="N161" s="438">
        <f t="shared" si="64"/>
        <v>83.652035884383523</v>
      </c>
      <c r="O161" s="438">
        <f t="shared" si="64"/>
        <v>79.914743214706846</v>
      </c>
    </row>
    <row r="162" spans="2:15">
      <c r="F162" s="147"/>
      <c r="G162" s="201"/>
      <c r="H162" s="147"/>
      <c r="I162" s="147"/>
      <c r="J162" s="230"/>
      <c r="K162" s="437"/>
      <c r="L162" s="437"/>
      <c r="M162" s="437"/>
      <c r="N162" s="437"/>
      <c r="O162" s="437"/>
    </row>
    <row r="163" spans="2:15">
      <c r="C163" t="s">
        <v>17</v>
      </c>
      <c r="F163" s="101" t="s">
        <v>680</v>
      </c>
      <c r="G163" s="229"/>
      <c r="H163" s="213">
        <v>398.5</v>
      </c>
      <c r="I163" s="213">
        <v>398</v>
      </c>
      <c r="J163" s="213">
        <v>397.7</v>
      </c>
      <c r="K163" s="424">
        <f>K214</f>
        <v>397.52533333333332</v>
      </c>
      <c r="L163" s="424">
        <f t="shared" ref="L163:O163" si="65">L214</f>
        <v>397.80066666666664</v>
      </c>
      <c r="M163" s="424">
        <f t="shared" si="65"/>
        <v>397.80433333333332</v>
      </c>
      <c r="N163" s="424">
        <f t="shared" si="65"/>
        <v>397.428</v>
      </c>
      <c r="O163" s="424">
        <f t="shared" si="65"/>
        <v>396.96</v>
      </c>
    </row>
    <row r="164" spans="2:15">
      <c r="C164" s="19" t="s">
        <v>10</v>
      </c>
      <c r="F164" s="101" t="str">
        <f>F163</f>
        <v xml:space="preserve">calc </v>
      </c>
      <c r="G164" s="229"/>
      <c r="H164" s="232">
        <v>19</v>
      </c>
      <c r="I164" s="232">
        <v>15</v>
      </c>
      <c r="J164" s="232">
        <v>12</v>
      </c>
      <c r="K164" s="424">
        <f>J164+Model!K130</f>
        <v>12</v>
      </c>
      <c r="L164" s="424">
        <f>K164+Model!L130</f>
        <v>12</v>
      </c>
      <c r="M164" s="424">
        <f>L164+Model!M130</f>
        <v>12</v>
      </c>
      <c r="N164" s="424">
        <f>M164+Model!N130</f>
        <v>12</v>
      </c>
      <c r="O164" s="424">
        <f>N164+Model!O130</f>
        <v>12</v>
      </c>
    </row>
    <row r="165" spans="2:15" ht="13">
      <c r="C165" s="108" t="s">
        <v>149</v>
      </c>
      <c r="F165" s="101"/>
      <c r="G165" s="229"/>
      <c r="H165" s="614">
        <f>SUM(H163:H164)</f>
        <v>417.5</v>
      </c>
      <c r="I165" s="614">
        <f t="shared" ref="I165:O165" si="66">SUM(I163:I164)</f>
        <v>413</v>
      </c>
      <c r="J165" s="614">
        <f t="shared" si="66"/>
        <v>409.7</v>
      </c>
      <c r="K165" s="614">
        <f t="shared" si="66"/>
        <v>409.52533333333332</v>
      </c>
      <c r="L165" s="614">
        <f t="shared" si="66"/>
        <v>409.80066666666664</v>
      </c>
      <c r="M165" s="614">
        <f t="shared" si="66"/>
        <v>409.80433333333332</v>
      </c>
      <c r="N165" s="614">
        <f t="shared" si="66"/>
        <v>409.428</v>
      </c>
      <c r="O165" s="614">
        <f t="shared" si="66"/>
        <v>408.96</v>
      </c>
    </row>
    <row r="166" spans="2:15">
      <c r="C166" s="19"/>
      <c r="F166" s="101"/>
      <c r="G166" s="229"/>
      <c r="H166" s="213"/>
      <c r="I166" s="213"/>
      <c r="J166" s="213"/>
      <c r="K166" s="424"/>
      <c r="L166" s="424"/>
      <c r="M166" s="424"/>
      <c r="N166" s="424"/>
      <c r="O166" s="424"/>
    </row>
    <row r="167" spans="2:15" ht="13.5" thickBot="1">
      <c r="C167" s="118" t="s">
        <v>18</v>
      </c>
      <c r="F167" s="119"/>
      <c r="G167" s="150"/>
      <c r="H167" s="152">
        <f>+H161+H165</f>
        <v>513.4</v>
      </c>
      <c r="I167" s="152">
        <f t="shared" ref="I167:J167" si="67">+I161+I165</f>
        <v>514.20000000000005</v>
      </c>
      <c r="J167" s="152">
        <f t="shared" si="67"/>
        <v>489.5</v>
      </c>
      <c r="K167" s="152">
        <f>SUM(K165,K161)</f>
        <v>492.02102290469878</v>
      </c>
      <c r="L167" s="152">
        <f t="shared" ref="L167:O167" si="68">SUM(L165,L161)</f>
        <v>486.74559940701567</v>
      </c>
      <c r="M167" s="152">
        <f t="shared" si="68"/>
        <v>489.21774146477742</v>
      </c>
      <c r="N167" s="152">
        <f t="shared" si="68"/>
        <v>493.08003588438351</v>
      </c>
      <c r="O167" s="152">
        <f t="shared" si="68"/>
        <v>488.87474321470683</v>
      </c>
    </row>
    <row r="168" spans="2:15" ht="13" thickTop="1">
      <c r="F168" s="147"/>
      <c r="G168" s="201"/>
      <c r="H168" s="147"/>
      <c r="I168" s="147"/>
      <c r="J168" s="201"/>
      <c r="K168" s="234"/>
      <c r="L168" s="234"/>
      <c r="M168" s="234"/>
      <c r="N168" s="234"/>
      <c r="O168" s="234"/>
    </row>
    <row r="169" spans="2:15">
      <c r="F169" s="147"/>
      <c r="G169" s="201"/>
      <c r="H169" s="147"/>
      <c r="I169" s="147"/>
      <c r="J169" s="201"/>
      <c r="K169" s="201"/>
      <c r="L169" s="201"/>
      <c r="M169" s="201"/>
      <c r="N169" s="201"/>
      <c r="O169" s="201"/>
    </row>
    <row r="170" spans="2:15" ht="13">
      <c r="B170" s="100" t="s">
        <v>19</v>
      </c>
      <c r="F170" s="147"/>
      <c r="G170" s="201"/>
      <c r="H170" s="147"/>
      <c r="I170" s="147"/>
      <c r="J170" s="201"/>
      <c r="K170" s="204"/>
      <c r="L170" s="204"/>
      <c r="M170" s="204"/>
      <c r="N170" s="204"/>
      <c r="O170" s="204"/>
    </row>
    <row r="171" spans="2:15">
      <c r="C171" s="19" t="s">
        <v>118</v>
      </c>
      <c r="F171" s="101"/>
      <c r="G171" s="206"/>
      <c r="H171" s="213">
        <v>0</v>
      </c>
      <c r="I171" s="213">
        <v>0</v>
      </c>
      <c r="J171" s="213">
        <v>0</v>
      </c>
      <c r="K171" s="205">
        <f>K306</f>
        <v>1.0645376226248302</v>
      </c>
      <c r="L171" s="205"/>
      <c r="M171" s="205"/>
      <c r="N171" s="205"/>
      <c r="O171" s="205"/>
    </row>
    <row r="172" spans="2:15">
      <c r="C172" s="19" t="s">
        <v>20</v>
      </c>
      <c r="F172" s="101"/>
      <c r="G172" s="206"/>
      <c r="H172" s="231">
        <v>18.299999999999997</v>
      </c>
      <c r="I172" s="231">
        <v>18.700000000000003</v>
      </c>
      <c r="J172" s="231">
        <v>18.2</v>
      </c>
      <c r="L172" s="424"/>
      <c r="M172" s="424"/>
      <c r="N172" s="424"/>
      <c r="O172" s="424"/>
    </row>
    <row r="173" spans="2:15">
      <c r="C173" s="19" t="s">
        <v>10</v>
      </c>
      <c r="F173" s="101"/>
      <c r="G173" s="229"/>
      <c r="H173" s="178">
        <v>4.7</v>
      </c>
      <c r="I173" s="178">
        <v>4.9000000000000004</v>
      </c>
      <c r="J173" s="178">
        <v>4.8</v>
      </c>
      <c r="K173" s="424"/>
      <c r="L173" s="424"/>
      <c r="M173" s="424"/>
      <c r="N173" s="424"/>
      <c r="O173" s="424"/>
    </row>
    <row r="174" spans="2:15" ht="13">
      <c r="C174" s="100" t="s">
        <v>21</v>
      </c>
      <c r="F174" s="119"/>
      <c r="G174" s="147"/>
      <c r="H174" s="144">
        <f t="shared" ref="H174:J174" si="69">SUM(H171:H173)</f>
        <v>22.999999999999996</v>
      </c>
      <c r="I174" s="144">
        <f t="shared" si="69"/>
        <v>23.6</v>
      </c>
      <c r="J174" s="144">
        <f t="shared" si="69"/>
        <v>23</v>
      </c>
      <c r="K174" s="424"/>
      <c r="L174" s="424"/>
      <c r="M174" s="424"/>
      <c r="N174" s="424"/>
      <c r="O174" s="424"/>
    </row>
    <row r="175" spans="2:15">
      <c r="F175" s="147"/>
      <c r="G175" s="201"/>
      <c r="H175" s="147"/>
      <c r="I175" s="147"/>
      <c r="J175" s="201"/>
      <c r="K175" s="234"/>
      <c r="L175" s="234"/>
      <c r="M175" s="424"/>
      <c r="N175" s="234"/>
      <c r="O175" s="234"/>
    </row>
    <row r="176" spans="2:15">
      <c r="C176" t="s">
        <v>127</v>
      </c>
      <c r="F176" s="101"/>
      <c r="G176" s="201"/>
      <c r="H176" s="232">
        <v>0.70000000000000018</v>
      </c>
      <c r="I176" s="232">
        <v>6.9</v>
      </c>
      <c r="J176" s="232">
        <v>8</v>
      </c>
      <c r="K176" s="424"/>
      <c r="L176" s="424"/>
      <c r="M176" s="424"/>
      <c r="N176" s="424"/>
      <c r="O176" s="424"/>
    </row>
    <row r="177" spans="1:15">
      <c r="C177" s="19" t="s">
        <v>115</v>
      </c>
      <c r="F177" s="101"/>
      <c r="G177" s="233"/>
      <c r="H177" s="178">
        <v>250</v>
      </c>
      <c r="I177" s="178">
        <v>225</v>
      </c>
      <c r="J177" s="178">
        <v>200</v>
      </c>
      <c r="K177" s="424">
        <f>K315</f>
        <v>175</v>
      </c>
      <c r="L177" s="424"/>
      <c r="M177" s="424"/>
      <c r="N177" s="424"/>
      <c r="O177" s="424"/>
    </row>
    <row r="178" spans="1:15" ht="13">
      <c r="C178" s="108" t="s">
        <v>22</v>
      </c>
      <c r="F178" s="119"/>
      <c r="G178" s="206"/>
      <c r="H178" s="203">
        <f t="shared" ref="H178:J178" si="70">SUM(H176:H177)</f>
        <v>250.7</v>
      </c>
      <c r="I178" s="203">
        <f t="shared" si="70"/>
        <v>231.9</v>
      </c>
      <c r="J178" s="203">
        <f t="shared" si="70"/>
        <v>208</v>
      </c>
      <c r="K178" s="424"/>
      <c r="L178" s="424"/>
      <c r="M178" s="424"/>
      <c r="N178" s="424"/>
      <c r="O178" s="424"/>
    </row>
    <row r="179" spans="1:15" ht="13">
      <c r="C179" s="100"/>
      <c r="F179" s="147"/>
      <c r="G179" s="201"/>
      <c r="H179" s="147"/>
      <c r="I179" s="147"/>
      <c r="J179" s="201"/>
      <c r="K179" s="234"/>
      <c r="L179" s="234"/>
      <c r="M179" s="234"/>
      <c r="N179" s="234"/>
      <c r="O179" s="234"/>
    </row>
    <row r="180" spans="1:15" ht="13">
      <c r="C180" s="108" t="s">
        <v>23</v>
      </c>
      <c r="F180" s="119"/>
      <c r="G180" s="150"/>
      <c r="H180" s="146">
        <f t="shared" ref="H180:J180" si="71">H178+H174</f>
        <v>273.7</v>
      </c>
      <c r="I180" s="146">
        <f t="shared" si="71"/>
        <v>255.5</v>
      </c>
      <c r="J180" s="146">
        <f t="shared" si="71"/>
        <v>231</v>
      </c>
      <c r="K180" s="176"/>
      <c r="L180" s="176"/>
      <c r="M180" s="176"/>
      <c r="N180" s="176"/>
      <c r="O180" s="176"/>
    </row>
    <row r="181" spans="1:15">
      <c r="F181" s="147"/>
      <c r="G181" s="147"/>
      <c r="H181" s="147"/>
      <c r="I181" s="147"/>
      <c r="J181" s="201"/>
      <c r="K181" s="234"/>
      <c r="L181" s="234"/>
      <c r="M181" s="234"/>
      <c r="N181" s="234"/>
      <c r="O181" s="234"/>
    </row>
    <row r="182" spans="1:15">
      <c r="C182" t="s">
        <v>103</v>
      </c>
      <c r="F182" s="101"/>
      <c r="G182" s="147"/>
      <c r="H182" s="213">
        <v>120</v>
      </c>
      <c r="I182" s="213">
        <v>120</v>
      </c>
      <c r="J182" s="213">
        <v>120</v>
      </c>
      <c r="K182" s="424"/>
      <c r="L182" s="424"/>
      <c r="M182" s="424"/>
      <c r="N182" s="424"/>
      <c r="O182" s="424"/>
    </row>
    <row r="183" spans="1:15">
      <c r="C183" t="s">
        <v>104</v>
      </c>
      <c r="F183" s="101"/>
      <c r="G183" s="234"/>
      <c r="H183" s="178">
        <v>119.70000000000002</v>
      </c>
      <c r="I183" s="178">
        <v>138.70000000000007</v>
      </c>
      <c r="J183" s="178">
        <v>138.50000000000003</v>
      </c>
      <c r="K183" s="424"/>
      <c r="L183" s="424"/>
      <c r="M183" s="424"/>
      <c r="N183" s="424"/>
      <c r="O183" s="424"/>
    </row>
    <row r="184" spans="1:15" ht="13">
      <c r="C184" s="100" t="s">
        <v>24</v>
      </c>
      <c r="F184" s="119"/>
      <c r="G184" s="206"/>
      <c r="H184" s="209">
        <f>SUM(H182:H183)</f>
        <v>239.70000000000002</v>
      </c>
      <c r="I184" s="209">
        <f>SUM(I182:I183)</f>
        <v>258.70000000000005</v>
      </c>
      <c r="J184" s="209">
        <f t="shared" ref="J184" si="72">SUM(J182:J183)</f>
        <v>258.5</v>
      </c>
      <c r="K184" s="176"/>
      <c r="L184" s="176"/>
      <c r="M184" s="176"/>
      <c r="N184" s="176"/>
      <c r="O184" s="176"/>
    </row>
    <row r="185" spans="1:15">
      <c r="F185" s="147"/>
      <c r="G185" s="147"/>
      <c r="H185" s="201"/>
      <c r="I185" s="201"/>
      <c r="J185" s="201"/>
      <c r="K185" s="234"/>
      <c r="L185" s="234"/>
      <c r="M185" s="234"/>
      <c r="N185" s="234"/>
      <c r="O185" s="234"/>
    </row>
    <row r="186" spans="1:15" ht="13.5" thickBot="1">
      <c r="B186" s="100" t="s">
        <v>25</v>
      </c>
      <c r="F186" s="119"/>
      <c r="G186" s="150"/>
      <c r="H186" s="152">
        <f>H184+H180</f>
        <v>513.4</v>
      </c>
      <c r="I186" s="152">
        <f>I184+I180</f>
        <v>514.20000000000005</v>
      </c>
      <c r="J186" s="152">
        <f t="shared" ref="J186" si="73">J184+J180</f>
        <v>489.5</v>
      </c>
      <c r="K186" s="126"/>
      <c r="L186" s="126"/>
      <c r="M186" s="126"/>
      <c r="N186" s="126"/>
      <c r="O186" s="126"/>
    </row>
    <row r="187" spans="1:15" ht="13" thickTop="1">
      <c r="F187" s="235"/>
      <c r="G187" s="235"/>
      <c r="H187" s="236"/>
      <c r="I187" s="236"/>
      <c r="J187" s="236"/>
      <c r="K187" s="236"/>
      <c r="L187" s="236"/>
      <c r="M187" s="236"/>
      <c r="N187" s="236"/>
      <c r="O187" s="236"/>
    </row>
    <row r="188" spans="1:15" ht="13">
      <c r="B188" s="197"/>
      <c r="D188" s="237" t="s">
        <v>26</v>
      </c>
      <c r="F188" s="238"/>
      <c r="G188" s="238"/>
      <c r="H188" s="239">
        <f>ROUND(H167-H186,3)</f>
        <v>0</v>
      </c>
      <c r="I188" s="239">
        <f t="shared" ref="I188:O188" si="74">ROUND(I167-I186,3)</f>
        <v>0</v>
      </c>
      <c r="J188" s="239">
        <f t="shared" si="74"/>
        <v>0</v>
      </c>
      <c r="K188" s="239">
        <f t="shared" si="74"/>
        <v>492.02100000000002</v>
      </c>
      <c r="L188" s="239">
        <f t="shared" si="74"/>
        <v>486.74599999999998</v>
      </c>
      <c r="M188" s="239">
        <f t="shared" si="74"/>
        <v>489.21800000000002</v>
      </c>
      <c r="N188" s="239">
        <f t="shared" si="74"/>
        <v>493.08</v>
      </c>
      <c r="O188" s="239">
        <f t="shared" si="74"/>
        <v>488.875</v>
      </c>
    </row>
    <row r="189" spans="1:15" ht="13">
      <c r="B189" s="240"/>
      <c r="C189" s="11"/>
      <c r="D189" s="11"/>
      <c r="E189" s="11"/>
      <c r="F189" s="11"/>
      <c r="G189" s="11"/>
      <c r="H189" s="11"/>
      <c r="I189" s="11"/>
      <c r="J189" s="11"/>
      <c r="K189" s="241"/>
      <c r="L189" s="241"/>
      <c r="M189" s="241"/>
      <c r="N189" s="241"/>
      <c r="O189" s="241"/>
    </row>
    <row r="190" spans="1:15">
      <c r="F190"/>
    </row>
    <row r="191" spans="1:15" ht="12.75" customHeight="1">
      <c r="A191" s="91"/>
      <c r="B191" s="1"/>
      <c r="C191" s="3"/>
      <c r="D191" s="3"/>
      <c r="E191" s="3"/>
      <c r="F191" s="90"/>
      <c r="G191" s="3"/>
      <c r="H191" s="3"/>
      <c r="I191" s="3"/>
      <c r="J191" s="3"/>
      <c r="K191" s="3"/>
      <c r="L191" s="3"/>
      <c r="M191" s="3"/>
      <c r="N191" s="3"/>
      <c r="O191" s="128">
        <f>$O$1</f>
        <v>0</v>
      </c>
    </row>
    <row r="192" spans="1:15" ht="22.75" customHeight="1">
      <c r="B192" s="242" t="str">
        <f>B$2</f>
        <v xml:space="preserve">Blu Containers Company </v>
      </c>
      <c r="C192" s="243"/>
      <c r="D192" s="243"/>
      <c r="E192" s="244"/>
      <c r="F192" s="244"/>
      <c r="G192" s="245"/>
      <c r="H192" s="245"/>
      <c r="I192" s="245"/>
      <c r="J192" s="245"/>
      <c r="K192" s="245"/>
      <c r="L192" s="245"/>
      <c r="M192" s="245"/>
      <c r="N192" s="245"/>
      <c r="O192" s="245"/>
    </row>
    <row r="193" spans="1:243" ht="18">
      <c r="B193" s="93" t="s">
        <v>465</v>
      </c>
      <c r="C193" s="93"/>
      <c r="D193" s="93"/>
      <c r="E193" s="246"/>
      <c r="F193" s="246"/>
      <c r="G193" s="93"/>
      <c r="H193" s="93"/>
      <c r="I193" s="93"/>
      <c r="J193" s="93"/>
      <c r="K193" s="93"/>
      <c r="L193" s="93"/>
      <c r="M193" s="93"/>
      <c r="N193" s="93"/>
      <c r="O193" s="93"/>
    </row>
    <row r="194" spans="1:243" ht="3" customHeight="1" thickBot="1">
      <c r="A194" s="92"/>
      <c r="B194" s="358"/>
      <c r="C194" s="359"/>
      <c r="D194" s="359"/>
      <c r="E194" s="359"/>
      <c r="F194" s="360"/>
      <c r="G194" s="359"/>
      <c r="H194" s="359"/>
      <c r="I194" s="359"/>
      <c r="J194" s="359"/>
      <c r="K194" s="359"/>
      <c r="L194" s="359"/>
      <c r="M194" s="359"/>
      <c r="N194" s="359"/>
      <c r="O194" s="359"/>
    </row>
    <row r="195" spans="1:243" ht="13">
      <c r="B195" s="161" t="s">
        <v>143</v>
      </c>
      <c r="C195" s="197"/>
      <c r="E195" s="96"/>
      <c r="G195" s="197"/>
    </row>
    <row r="196" spans="1:243" ht="13">
      <c r="E196" s="96"/>
      <c r="K196" s="98" t="s">
        <v>2</v>
      </c>
      <c r="L196" s="247"/>
      <c r="M196" s="247"/>
      <c r="N196" s="247"/>
      <c r="O196" s="247"/>
    </row>
    <row r="197" spans="1:243" ht="13">
      <c r="C197" s="118"/>
      <c r="D197" s="118"/>
      <c r="E197" s="145"/>
      <c r="F197" s="248"/>
      <c r="G197" s="129"/>
      <c r="H197" s="349">
        <f t="shared" ref="H197:J197" si="75">H$7</f>
        <v>2020</v>
      </c>
      <c r="I197" s="349">
        <f t="shared" si="75"/>
        <v>2021</v>
      </c>
      <c r="J197" s="349">
        <f t="shared" si="75"/>
        <v>2022</v>
      </c>
      <c r="K197" s="352">
        <f>K$7</f>
        <v>2023</v>
      </c>
      <c r="L197" s="352">
        <f>L$7</f>
        <v>2024</v>
      </c>
      <c r="M197" s="352">
        <f>M$7</f>
        <v>2025</v>
      </c>
      <c r="N197" s="352">
        <f>N$7</f>
        <v>2026</v>
      </c>
      <c r="O197" s="352">
        <f>O$7</f>
        <v>2027</v>
      </c>
    </row>
    <row r="199" spans="1:243" ht="13.4" customHeight="1">
      <c r="A199" s="249"/>
      <c r="B199" s="250" t="s">
        <v>163</v>
      </c>
      <c r="C199" s="5"/>
      <c r="D199" s="5"/>
      <c r="E199" s="5"/>
      <c r="F199" s="434">
        <f>Assumptions!H40</f>
        <v>25</v>
      </c>
      <c r="K199" s="251"/>
      <c r="L199" s="252"/>
      <c r="M199" s="252"/>
      <c r="N199" s="252"/>
      <c r="P199" s="253"/>
      <c r="Q199" s="253"/>
      <c r="R199" s="253"/>
      <c r="S199" s="253"/>
      <c r="T199" s="253"/>
      <c r="U199" s="253"/>
      <c r="V199" s="253"/>
      <c r="W199" s="253"/>
      <c r="X199" s="253"/>
      <c r="Y199" s="253"/>
      <c r="Z199" s="253"/>
      <c r="AA199" s="253"/>
      <c r="AB199" s="253"/>
      <c r="AC199" s="253"/>
      <c r="AD199" s="253"/>
      <c r="AE199" s="253"/>
      <c r="AF199" s="253"/>
      <c r="AG199" s="253"/>
      <c r="AH199" s="253"/>
      <c r="AI199" s="253"/>
      <c r="AJ199" s="253"/>
      <c r="AK199" s="253"/>
      <c r="AL199" s="253"/>
      <c r="AM199" s="253"/>
      <c r="AN199" s="253"/>
      <c r="AO199" s="253"/>
      <c r="AP199" s="253"/>
      <c r="AQ199" s="253"/>
      <c r="AR199" s="253"/>
      <c r="AS199" s="253"/>
      <c r="AT199" s="253"/>
      <c r="AU199" s="253"/>
      <c r="AV199" s="253"/>
      <c r="AW199" s="253"/>
      <c r="AX199" s="253"/>
      <c r="AY199" s="253"/>
      <c r="AZ199" s="253"/>
      <c r="BA199" s="253"/>
      <c r="BB199" s="253"/>
      <c r="BC199" s="253"/>
      <c r="BD199" s="253"/>
      <c r="BE199" s="253"/>
      <c r="BF199" s="253"/>
      <c r="BG199" s="253"/>
      <c r="BH199" s="253"/>
      <c r="BI199" s="253"/>
      <c r="BJ199" s="253"/>
      <c r="BK199" s="253"/>
      <c r="BL199" s="253"/>
      <c r="BM199" s="253"/>
      <c r="BN199" s="253"/>
      <c r="BO199" s="253"/>
      <c r="BP199" s="253"/>
      <c r="BQ199" s="253"/>
      <c r="BR199" s="253"/>
      <c r="BS199" s="253"/>
      <c r="BT199" s="253"/>
      <c r="BU199" s="253"/>
      <c r="BV199" s="253"/>
      <c r="BW199" s="253"/>
      <c r="BX199" s="253"/>
      <c r="BY199" s="253"/>
      <c r="BZ199" s="253"/>
      <c r="CA199" s="253"/>
      <c r="CB199" s="253"/>
      <c r="CC199" s="253"/>
      <c r="CD199" s="253"/>
      <c r="CE199" s="253"/>
      <c r="CF199" s="253"/>
      <c r="CG199" s="253"/>
      <c r="CH199" s="253"/>
      <c r="CI199" s="253"/>
      <c r="CJ199" s="253"/>
      <c r="CK199" s="253"/>
      <c r="CL199" s="253"/>
      <c r="CM199" s="253"/>
      <c r="CN199" s="253"/>
      <c r="CO199" s="253"/>
      <c r="CP199" s="253"/>
      <c r="CQ199" s="253"/>
      <c r="CR199" s="253"/>
      <c r="CS199" s="253"/>
      <c r="CT199" s="253"/>
      <c r="CU199" s="253"/>
      <c r="CV199" s="253"/>
      <c r="CW199" s="253"/>
      <c r="CX199" s="253"/>
      <c r="CY199" s="253"/>
      <c r="CZ199" s="253"/>
      <c r="DA199" s="253"/>
      <c r="DB199" s="253"/>
      <c r="DC199" s="253"/>
      <c r="DD199" s="253"/>
      <c r="DE199" s="253"/>
      <c r="DF199" s="253"/>
      <c r="DG199" s="253"/>
      <c r="DH199" s="253"/>
      <c r="DI199" s="253"/>
      <c r="DJ199" s="253"/>
      <c r="DK199" s="253"/>
      <c r="DL199" s="253"/>
      <c r="DM199" s="253"/>
      <c r="DN199" s="253"/>
      <c r="DO199" s="253"/>
      <c r="DP199" s="253"/>
      <c r="DQ199" s="253"/>
      <c r="DR199" s="253"/>
      <c r="DS199" s="253"/>
      <c r="DT199" s="253"/>
      <c r="DU199" s="253"/>
      <c r="DV199" s="253"/>
      <c r="DW199" s="253"/>
      <c r="DX199" s="253"/>
      <c r="DY199" s="253"/>
      <c r="DZ199" s="253"/>
      <c r="EA199" s="253"/>
      <c r="EB199" s="253"/>
      <c r="EC199" s="253"/>
      <c r="ED199" s="253"/>
      <c r="EE199" s="253"/>
      <c r="EF199" s="253"/>
      <c r="EG199" s="253"/>
      <c r="EH199" s="253"/>
      <c r="EI199" s="253"/>
      <c r="EJ199" s="253"/>
      <c r="EK199" s="253"/>
      <c r="EL199" s="253"/>
      <c r="EM199" s="253"/>
      <c r="EN199" s="253"/>
      <c r="EO199" s="253"/>
      <c r="EP199" s="253"/>
      <c r="EQ199" s="253"/>
      <c r="ER199" s="253"/>
      <c r="ES199" s="253"/>
      <c r="ET199" s="253"/>
      <c r="EU199" s="253"/>
      <c r="EV199" s="253"/>
      <c r="EW199" s="253"/>
      <c r="EX199" s="253"/>
      <c r="EY199" s="253"/>
      <c r="EZ199" s="253"/>
      <c r="FA199" s="253"/>
      <c r="FB199" s="253"/>
      <c r="FC199" s="253"/>
      <c r="FD199" s="253"/>
      <c r="FE199" s="253"/>
      <c r="FF199" s="253"/>
      <c r="FG199" s="253"/>
      <c r="FH199" s="253"/>
      <c r="FI199" s="253"/>
      <c r="FJ199" s="253"/>
      <c r="FK199" s="253"/>
      <c r="FL199" s="253"/>
      <c r="FM199" s="253"/>
      <c r="FN199" s="253"/>
      <c r="FO199" s="253"/>
      <c r="FP199" s="253"/>
      <c r="FQ199" s="253"/>
      <c r="FR199" s="253"/>
      <c r="FS199" s="253"/>
      <c r="FT199" s="253"/>
      <c r="FU199" s="253"/>
      <c r="FV199" s="253"/>
      <c r="FW199" s="253"/>
      <c r="FX199" s="253"/>
      <c r="FY199" s="253"/>
      <c r="FZ199" s="253"/>
      <c r="GA199" s="253"/>
      <c r="GB199" s="253"/>
      <c r="GC199" s="253"/>
      <c r="GD199" s="253"/>
      <c r="GE199" s="253"/>
      <c r="GF199" s="253"/>
      <c r="GG199" s="253"/>
      <c r="GH199" s="253"/>
      <c r="GI199" s="253"/>
      <c r="GJ199" s="253"/>
      <c r="GK199" s="253"/>
      <c r="GL199" s="253"/>
      <c r="GM199" s="253"/>
      <c r="GN199" s="253"/>
      <c r="GO199" s="253"/>
      <c r="GP199" s="253"/>
      <c r="GQ199" s="253"/>
      <c r="GR199" s="253"/>
      <c r="GS199" s="253"/>
      <c r="GT199" s="253"/>
      <c r="GU199" s="253"/>
      <c r="GV199" s="253"/>
      <c r="GW199" s="253"/>
      <c r="GX199" s="253"/>
      <c r="GY199" s="253"/>
      <c r="GZ199" s="253"/>
      <c r="HA199" s="253"/>
      <c r="HB199" s="253"/>
      <c r="HC199" s="253"/>
      <c r="HD199" s="253"/>
      <c r="HE199" s="253"/>
      <c r="HF199" s="253"/>
      <c r="HG199" s="253"/>
      <c r="HH199" s="253"/>
      <c r="HI199" s="253"/>
      <c r="HJ199" s="253"/>
      <c r="HK199" s="253"/>
      <c r="HL199" s="253"/>
      <c r="HM199" s="253"/>
      <c r="HN199" s="253"/>
      <c r="HO199" s="253"/>
      <c r="HP199" s="253"/>
      <c r="HQ199" s="253"/>
      <c r="HR199" s="253"/>
      <c r="HS199" s="253"/>
      <c r="HT199" s="253"/>
      <c r="HU199" s="253"/>
      <c r="HV199" s="253"/>
      <c r="HW199" s="253"/>
      <c r="HX199" s="253"/>
      <c r="HY199" s="253"/>
      <c r="HZ199" s="253"/>
      <c r="IA199" s="253"/>
      <c r="IB199" s="253"/>
      <c r="IC199" s="253"/>
      <c r="ID199" s="253"/>
      <c r="IE199" s="253"/>
      <c r="IF199" s="253"/>
      <c r="IG199" s="253"/>
      <c r="IH199" s="253"/>
      <c r="II199" s="253"/>
    </row>
    <row r="200" spans="1:243" ht="13.4" customHeight="1">
      <c r="A200" s="249"/>
      <c r="B200" s="254" t="s">
        <v>122</v>
      </c>
      <c r="C200" s="11"/>
      <c r="D200" s="255"/>
      <c r="E200" s="256"/>
      <c r="F200" s="435">
        <f>Assumptions!H41</f>
        <v>30</v>
      </c>
      <c r="I200" s="564" t="s">
        <v>450</v>
      </c>
      <c r="K200" s="251"/>
      <c r="L200" s="252"/>
      <c r="M200" s="252"/>
      <c r="N200" s="252"/>
      <c r="P200" s="253"/>
      <c r="Q200" s="253"/>
      <c r="R200" s="253"/>
      <c r="S200" s="253"/>
      <c r="T200" s="253"/>
      <c r="U200" s="253"/>
      <c r="V200" s="253"/>
      <c r="W200" s="253"/>
      <c r="X200" s="253"/>
      <c r="Y200" s="253"/>
      <c r="Z200" s="253"/>
      <c r="AA200" s="253"/>
      <c r="AB200" s="253"/>
      <c r="AC200" s="253"/>
      <c r="AD200" s="253"/>
      <c r="AE200" s="253"/>
      <c r="AF200" s="253"/>
      <c r="AG200" s="253"/>
      <c r="AH200" s="253"/>
      <c r="AI200" s="253"/>
      <c r="AJ200" s="253"/>
      <c r="AK200" s="253"/>
      <c r="AL200" s="253"/>
      <c r="AM200" s="253"/>
      <c r="AN200" s="253"/>
      <c r="AO200" s="253"/>
      <c r="AP200" s="253"/>
      <c r="AQ200" s="253"/>
      <c r="AR200" s="253"/>
      <c r="AS200" s="253"/>
      <c r="AT200" s="253"/>
      <c r="AU200" s="253"/>
      <c r="AV200" s="253"/>
      <c r="AW200" s="253"/>
      <c r="AX200" s="253"/>
      <c r="AY200" s="253"/>
      <c r="AZ200" s="253"/>
      <c r="BA200" s="253"/>
      <c r="BB200" s="253"/>
      <c r="BC200" s="253"/>
      <c r="BD200" s="253"/>
      <c r="BE200" s="253"/>
      <c r="BF200" s="253"/>
      <c r="BG200" s="253"/>
      <c r="BH200" s="253"/>
      <c r="BI200" s="253"/>
      <c r="BJ200" s="253"/>
      <c r="BK200" s="253"/>
      <c r="BL200" s="253"/>
      <c r="BM200" s="253"/>
      <c r="BN200" s="253"/>
      <c r="BO200" s="253"/>
      <c r="BP200" s="253"/>
      <c r="BQ200" s="253"/>
      <c r="BR200" s="253"/>
      <c r="BS200" s="253"/>
      <c r="BT200" s="253"/>
      <c r="BU200" s="253"/>
      <c r="BV200" s="253"/>
      <c r="BW200" s="253"/>
      <c r="BX200" s="253"/>
      <c r="BY200" s="253"/>
      <c r="BZ200" s="253"/>
      <c r="CA200" s="253"/>
      <c r="CB200" s="253"/>
      <c r="CC200" s="253"/>
      <c r="CD200" s="253"/>
      <c r="CE200" s="253"/>
      <c r="CF200" s="253"/>
      <c r="CG200" s="253"/>
      <c r="CH200" s="253"/>
      <c r="CI200" s="253"/>
      <c r="CJ200" s="253"/>
      <c r="CK200" s="253"/>
      <c r="CL200" s="253"/>
      <c r="CM200" s="253"/>
      <c r="CN200" s="253"/>
      <c r="CO200" s="253"/>
      <c r="CP200" s="253"/>
      <c r="CQ200" s="253"/>
      <c r="CR200" s="253"/>
      <c r="CS200" s="253"/>
      <c r="CT200" s="253"/>
      <c r="CU200" s="253"/>
      <c r="CV200" s="253"/>
      <c r="CW200" s="253"/>
      <c r="CX200" s="253"/>
      <c r="CY200" s="253"/>
      <c r="CZ200" s="253"/>
      <c r="DA200" s="253"/>
      <c r="DB200" s="253"/>
      <c r="DC200" s="253"/>
      <c r="DD200" s="253"/>
      <c r="DE200" s="253"/>
      <c r="DF200" s="253"/>
      <c r="DG200" s="253"/>
      <c r="DH200" s="253"/>
      <c r="DI200" s="253"/>
      <c r="DJ200" s="253"/>
      <c r="DK200" s="253"/>
      <c r="DL200" s="253"/>
      <c r="DM200" s="253"/>
      <c r="DN200" s="253"/>
      <c r="DO200" s="253"/>
      <c r="DP200" s="253"/>
      <c r="DQ200" s="253"/>
      <c r="DR200" s="253"/>
      <c r="DS200" s="253"/>
      <c r="DT200" s="253"/>
      <c r="DU200" s="253"/>
      <c r="DV200" s="253"/>
      <c r="DW200" s="253"/>
      <c r="DX200" s="253"/>
      <c r="DY200" s="253"/>
      <c r="DZ200" s="253"/>
      <c r="EA200" s="253"/>
      <c r="EB200" s="253"/>
      <c r="EC200" s="253"/>
      <c r="ED200" s="253"/>
      <c r="EE200" s="253"/>
      <c r="EF200" s="253"/>
      <c r="EG200" s="253"/>
      <c r="EH200" s="253"/>
      <c r="EI200" s="253"/>
      <c r="EJ200" s="253"/>
      <c r="EK200" s="253"/>
      <c r="EL200" s="253"/>
      <c r="EM200" s="253"/>
      <c r="EN200" s="253"/>
      <c r="EO200" s="253"/>
      <c r="EP200" s="253"/>
      <c r="EQ200" s="253"/>
      <c r="ER200" s="253"/>
      <c r="ES200" s="253"/>
      <c r="ET200" s="253"/>
      <c r="EU200" s="253"/>
      <c r="EV200" s="253"/>
      <c r="EW200" s="253"/>
      <c r="EX200" s="253"/>
      <c r="EY200" s="253"/>
      <c r="EZ200" s="253"/>
      <c r="FA200" s="253"/>
      <c r="FB200" s="253"/>
      <c r="FC200" s="253"/>
      <c r="FD200" s="253"/>
      <c r="FE200" s="253"/>
      <c r="FF200" s="253"/>
      <c r="FG200" s="253"/>
      <c r="FH200" s="253"/>
      <c r="FI200" s="253"/>
      <c r="FJ200" s="253"/>
      <c r="FK200" s="253"/>
      <c r="FL200" s="253"/>
      <c r="FM200" s="253"/>
      <c r="FN200" s="253"/>
      <c r="FO200" s="253"/>
      <c r="FP200" s="253"/>
      <c r="FQ200" s="253"/>
      <c r="FR200" s="253"/>
      <c r="FS200" s="253"/>
      <c r="FT200" s="253"/>
      <c r="FU200" s="253"/>
      <c r="FV200" s="253"/>
      <c r="FW200" s="253"/>
      <c r="FX200" s="253"/>
      <c r="FY200" s="253"/>
      <c r="FZ200" s="253"/>
      <c r="GA200" s="253"/>
      <c r="GB200" s="253"/>
      <c r="GC200" s="253"/>
      <c r="GD200" s="253"/>
      <c r="GE200" s="253"/>
      <c r="GF200" s="253"/>
      <c r="GG200" s="253"/>
      <c r="GH200" s="253"/>
      <c r="GI200" s="253"/>
      <c r="GJ200" s="253"/>
      <c r="GK200" s="253"/>
      <c r="GL200" s="253"/>
      <c r="GM200" s="253"/>
      <c r="GN200" s="253"/>
      <c r="GO200" s="253"/>
      <c r="GP200" s="253"/>
      <c r="GQ200" s="253"/>
      <c r="GR200" s="253"/>
      <c r="GS200" s="253"/>
      <c r="GT200" s="253"/>
      <c r="GU200" s="253"/>
      <c r="GV200" s="253"/>
      <c r="GW200" s="253"/>
      <c r="GX200" s="253"/>
      <c r="GY200" s="253"/>
      <c r="GZ200" s="253"/>
      <c r="HA200" s="253"/>
      <c r="HB200" s="253"/>
      <c r="HC200" s="253"/>
      <c r="HD200" s="253"/>
      <c r="HE200" s="253"/>
      <c r="HF200" s="253"/>
      <c r="HG200" s="253"/>
      <c r="HH200" s="253"/>
      <c r="HI200" s="253"/>
      <c r="HJ200" s="253"/>
      <c r="HK200" s="253"/>
      <c r="HL200" s="253"/>
      <c r="HM200" s="253"/>
      <c r="HN200" s="253"/>
      <c r="HO200" s="253"/>
      <c r="HP200" s="253"/>
      <c r="HQ200" s="253"/>
      <c r="HR200" s="253"/>
      <c r="HS200" s="253"/>
      <c r="HT200" s="253"/>
      <c r="HU200" s="253"/>
      <c r="HV200" s="253"/>
      <c r="HW200" s="253"/>
      <c r="HX200" s="253"/>
      <c r="HY200" s="253"/>
      <c r="HZ200" s="253"/>
      <c r="IA200" s="253"/>
      <c r="IB200" s="253"/>
      <c r="IC200" s="253"/>
      <c r="ID200" s="253"/>
      <c r="IE200" s="253"/>
      <c r="IF200" s="253"/>
      <c r="IG200" s="253"/>
      <c r="IH200" s="253"/>
      <c r="II200" s="253"/>
    </row>
    <row r="201" spans="1:243" ht="13.4" customHeight="1">
      <c r="A201" s="249"/>
      <c r="B201" s="574"/>
      <c r="D201" s="575"/>
      <c r="E201" s="576"/>
      <c r="F201" s="577"/>
      <c r="I201" s="564"/>
      <c r="K201" s="251"/>
      <c r="L201" s="252"/>
      <c r="M201" s="252"/>
      <c r="N201" s="252"/>
      <c r="P201" s="253"/>
      <c r="Q201" s="253"/>
      <c r="R201" s="253"/>
      <c r="S201" s="253"/>
      <c r="T201" s="253"/>
      <c r="U201" s="253"/>
      <c r="V201" s="253"/>
      <c r="W201" s="253"/>
      <c r="X201" s="253"/>
      <c r="Y201" s="253"/>
      <c r="Z201" s="253"/>
      <c r="AA201" s="253"/>
      <c r="AB201" s="253"/>
      <c r="AC201" s="253"/>
      <c r="AD201" s="253"/>
      <c r="AE201" s="253"/>
      <c r="AF201" s="253"/>
      <c r="AG201" s="253"/>
      <c r="AH201" s="253"/>
      <c r="AI201" s="253"/>
      <c r="AJ201" s="253"/>
      <c r="AK201" s="253"/>
      <c r="AL201" s="253"/>
      <c r="AM201" s="253"/>
      <c r="AN201" s="253"/>
      <c r="AO201" s="253"/>
      <c r="AP201" s="253"/>
      <c r="AQ201" s="253"/>
      <c r="AR201" s="253"/>
      <c r="AS201" s="253"/>
      <c r="AT201" s="253"/>
      <c r="AU201" s="253"/>
      <c r="AV201" s="253"/>
      <c r="AW201" s="253"/>
      <c r="AX201" s="253"/>
      <c r="AY201" s="253"/>
      <c r="AZ201" s="253"/>
      <c r="BA201" s="253"/>
      <c r="BB201" s="253"/>
      <c r="BC201" s="253"/>
      <c r="BD201" s="253"/>
      <c r="BE201" s="253"/>
      <c r="BF201" s="253"/>
      <c r="BG201" s="253"/>
      <c r="BH201" s="253"/>
      <c r="BI201" s="253"/>
      <c r="BJ201" s="253"/>
      <c r="BK201" s="253"/>
      <c r="BL201" s="253"/>
      <c r="BM201" s="253"/>
      <c r="BN201" s="253"/>
      <c r="BO201" s="253"/>
      <c r="BP201" s="253"/>
      <c r="BQ201" s="253"/>
      <c r="BR201" s="253"/>
      <c r="BS201" s="253"/>
      <c r="BT201" s="253"/>
      <c r="BU201" s="253"/>
      <c r="BV201" s="253"/>
      <c r="BW201" s="253"/>
      <c r="BX201" s="253"/>
      <c r="BY201" s="253"/>
      <c r="BZ201" s="253"/>
      <c r="CA201" s="253"/>
      <c r="CB201" s="253"/>
      <c r="CC201" s="253"/>
      <c r="CD201" s="253"/>
      <c r="CE201" s="253"/>
      <c r="CF201" s="253"/>
      <c r="CG201" s="253"/>
      <c r="CH201" s="253"/>
      <c r="CI201" s="253"/>
      <c r="CJ201" s="253"/>
      <c r="CK201" s="253"/>
      <c r="CL201" s="253"/>
      <c r="CM201" s="253"/>
      <c r="CN201" s="253"/>
      <c r="CO201" s="253"/>
      <c r="CP201" s="253"/>
      <c r="CQ201" s="253"/>
      <c r="CR201" s="253"/>
      <c r="CS201" s="253"/>
      <c r="CT201" s="253"/>
      <c r="CU201" s="253"/>
      <c r="CV201" s="253"/>
      <c r="CW201" s="253"/>
      <c r="CX201" s="253"/>
      <c r="CY201" s="253"/>
      <c r="CZ201" s="253"/>
      <c r="DA201" s="253"/>
      <c r="DB201" s="253"/>
      <c r="DC201" s="253"/>
      <c r="DD201" s="253"/>
      <c r="DE201" s="253"/>
      <c r="DF201" s="253"/>
      <c r="DG201" s="253"/>
      <c r="DH201" s="253"/>
      <c r="DI201" s="253"/>
      <c r="DJ201" s="253"/>
      <c r="DK201" s="253"/>
      <c r="DL201" s="253"/>
      <c r="DM201" s="253"/>
      <c r="DN201" s="253"/>
      <c r="DO201" s="253"/>
      <c r="DP201" s="253"/>
      <c r="DQ201" s="253"/>
      <c r="DR201" s="253"/>
      <c r="DS201" s="253"/>
      <c r="DT201" s="253"/>
      <c r="DU201" s="253"/>
      <c r="DV201" s="253"/>
      <c r="DW201" s="253"/>
      <c r="DX201" s="253"/>
      <c r="DY201" s="253"/>
      <c r="DZ201" s="253"/>
      <c r="EA201" s="253"/>
      <c r="EB201" s="253"/>
      <c r="EC201" s="253"/>
      <c r="ED201" s="253"/>
      <c r="EE201" s="253"/>
      <c r="EF201" s="253"/>
      <c r="EG201" s="253"/>
      <c r="EH201" s="253"/>
      <c r="EI201" s="253"/>
      <c r="EJ201" s="253"/>
      <c r="EK201" s="253"/>
      <c r="EL201" s="253"/>
      <c r="EM201" s="253"/>
      <c r="EN201" s="253"/>
      <c r="EO201" s="253"/>
      <c r="EP201" s="253"/>
      <c r="EQ201" s="253"/>
      <c r="ER201" s="253"/>
      <c r="ES201" s="253"/>
      <c r="ET201" s="253"/>
      <c r="EU201" s="253"/>
      <c r="EV201" s="253"/>
      <c r="EW201" s="253"/>
      <c r="EX201" s="253"/>
      <c r="EY201" s="253"/>
      <c r="EZ201" s="253"/>
      <c r="FA201" s="253"/>
      <c r="FB201" s="253"/>
      <c r="FC201" s="253"/>
      <c r="FD201" s="253"/>
      <c r="FE201" s="253"/>
      <c r="FF201" s="253"/>
      <c r="FG201" s="253"/>
      <c r="FH201" s="253"/>
      <c r="FI201" s="253"/>
      <c r="FJ201" s="253"/>
      <c r="FK201" s="253"/>
      <c r="FL201" s="253"/>
      <c r="FM201" s="253"/>
      <c r="FN201" s="253"/>
      <c r="FO201" s="253"/>
      <c r="FP201" s="253"/>
      <c r="FQ201" s="253"/>
      <c r="FR201" s="253"/>
      <c r="FS201" s="253"/>
      <c r="FT201" s="253"/>
      <c r="FU201" s="253"/>
      <c r="FV201" s="253"/>
      <c r="FW201" s="253"/>
      <c r="FX201" s="253"/>
      <c r="FY201" s="253"/>
      <c r="FZ201" s="253"/>
      <c r="GA201" s="253"/>
      <c r="GB201" s="253"/>
      <c r="GC201" s="253"/>
      <c r="GD201" s="253"/>
      <c r="GE201" s="253"/>
      <c r="GF201" s="253"/>
      <c r="GG201" s="253"/>
      <c r="GH201" s="253"/>
      <c r="GI201" s="253"/>
      <c r="GJ201" s="253"/>
      <c r="GK201" s="253"/>
      <c r="GL201" s="253"/>
      <c r="GM201" s="253"/>
      <c r="GN201" s="253"/>
      <c r="GO201" s="253"/>
      <c r="GP201" s="253"/>
      <c r="GQ201" s="253"/>
      <c r="GR201" s="253"/>
      <c r="GS201" s="253"/>
      <c r="GT201" s="253"/>
      <c r="GU201" s="253"/>
      <c r="GV201" s="253"/>
      <c r="GW201" s="253"/>
      <c r="GX201" s="253"/>
      <c r="GY201" s="253"/>
      <c r="GZ201" s="253"/>
      <c r="HA201" s="253"/>
      <c r="HB201" s="253"/>
      <c r="HC201" s="253"/>
      <c r="HD201" s="253"/>
      <c r="HE201" s="253"/>
      <c r="HF201" s="253"/>
      <c r="HG201" s="253"/>
      <c r="HH201" s="253"/>
      <c r="HI201" s="253"/>
      <c r="HJ201" s="253"/>
      <c r="HK201" s="253"/>
      <c r="HL201" s="253"/>
      <c r="HM201" s="253"/>
      <c r="HN201" s="253"/>
      <c r="HO201" s="253"/>
      <c r="HP201" s="253"/>
      <c r="HQ201" s="253"/>
      <c r="HR201" s="253"/>
      <c r="HS201" s="253"/>
      <c r="HT201" s="253"/>
      <c r="HU201" s="253"/>
      <c r="HV201" s="253"/>
      <c r="HW201" s="253"/>
      <c r="HX201" s="253"/>
      <c r="HY201" s="253"/>
      <c r="HZ201" s="253"/>
      <c r="IA201" s="253"/>
      <c r="IB201" s="253"/>
      <c r="IC201" s="253"/>
      <c r="ID201" s="253"/>
      <c r="IE201" s="253"/>
      <c r="IF201" s="253"/>
      <c r="IG201" s="253"/>
      <c r="IH201" s="253"/>
      <c r="II201" s="253"/>
    </row>
    <row r="202" spans="1:243" ht="13.4" customHeight="1">
      <c r="A202" s="249"/>
      <c r="B202" s="574"/>
      <c r="D202" s="575" t="s">
        <v>467</v>
      </c>
      <c r="E202" s="576"/>
      <c r="F202" s="577"/>
      <c r="I202" s="564"/>
      <c r="K202" s="578">
        <f>J163</f>
        <v>397.7</v>
      </c>
      <c r="L202" s="578">
        <f>K214</f>
        <v>397.52533333333332</v>
      </c>
      <c r="M202" s="578">
        <f t="shared" ref="M202:O202" si="76">L214</f>
        <v>397.80066666666664</v>
      </c>
      <c r="N202" s="578">
        <f t="shared" si="76"/>
        <v>397.80433333333332</v>
      </c>
      <c r="O202" s="578">
        <f t="shared" si="76"/>
        <v>397.428</v>
      </c>
      <c r="P202" s="253"/>
      <c r="Q202" s="253"/>
      <c r="R202" s="253"/>
      <c r="S202" s="253"/>
      <c r="T202" s="253"/>
      <c r="U202" s="253"/>
      <c r="V202" s="253"/>
      <c r="W202" s="253"/>
      <c r="X202" s="253"/>
      <c r="Y202" s="253"/>
      <c r="Z202" s="253"/>
      <c r="AA202" s="253"/>
      <c r="AB202" s="253"/>
      <c r="AC202" s="253"/>
      <c r="AD202" s="253"/>
      <c r="AE202" s="253"/>
      <c r="AF202" s="253"/>
      <c r="AG202" s="253"/>
      <c r="AH202" s="253"/>
      <c r="AI202" s="253"/>
      <c r="AJ202" s="253"/>
      <c r="AK202" s="253"/>
      <c r="AL202" s="253"/>
      <c r="AM202" s="253"/>
      <c r="AN202" s="253"/>
      <c r="AO202" s="253"/>
      <c r="AP202" s="253"/>
      <c r="AQ202" s="253"/>
      <c r="AR202" s="253"/>
      <c r="AS202" s="253"/>
      <c r="AT202" s="253"/>
      <c r="AU202" s="253"/>
      <c r="AV202" s="253"/>
      <c r="AW202" s="253"/>
      <c r="AX202" s="253"/>
      <c r="AY202" s="253"/>
      <c r="AZ202" s="253"/>
      <c r="BA202" s="253"/>
      <c r="BB202" s="253"/>
      <c r="BC202" s="253"/>
      <c r="BD202" s="253"/>
      <c r="BE202" s="253"/>
      <c r="BF202" s="253"/>
      <c r="BG202" s="253"/>
      <c r="BH202" s="253"/>
      <c r="BI202" s="253"/>
      <c r="BJ202" s="253"/>
      <c r="BK202" s="253"/>
      <c r="BL202" s="253"/>
      <c r="BM202" s="253"/>
      <c r="BN202" s="253"/>
      <c r="BO202" s="253"/>
      <c r="BP202" s="253"/>
      <c r="BQ202" s="253"/>
      <c r="BR202" s="253"/>
      <c r="BS202" s="253"/>
      <c r="BT202" s="253"/>
      <c r="BU202" s="253"/>
      <c r="BV202" s="253"/>
      <c r="BW202" s="253"/>
      <c r="BX202" s="253"/>
      <c r="BY202" s="253"/>
      <c r="BZ202" s="253"/>
      <c r="CA202" s="253"/>
      <c r="CB202" s="253"/>
      <c r="CC202" s="253"/>
      <c r="CD202" s="253"/>
      <c r="CE202" s="253"/>
      <c r="CF202" s="253"/>
      <c r="CG202" s="253"/>
      <c r="CH202" s="253"/>
      <c r="CI202" s="253"/>
      <c r="CJ202" s="253"/>
      <c r="CK202" s="253"/>
      <c r="CL202" s="253"/>
      <c r="CM202" s="253"/>
      <c r="CN202" s="253"/>
      <c r="CO202" s="253"/>
      <c r="CP202" s="253"/>
      <c r="CQ202" s="253"/>
      <c r="CR202" s="253"/>
      <c r="CS202" s="253"/>
      <c r="CT202" s="253"/>
      <c r="CU202" s="253"/>
      <c r="CV202" s="253"/>
      <c r="CW202" s="253"/>
      <c r="CX202" s="253"/>
      <c r="CY202" s="253"/>
      <c r="CZ202" s="253"/>
      <c r="DA202" s="253"/>
      <c r="DB202" s="253"/>
      <c r="DC202" s="253"/>
      <c r="DD202" s="253"/>
      <c r="DE202" s="253"/>
      <c r="DF202" s="253"/>
      <c r="DG202" s="253"/>
      <c r="DH202" s="253"/>
      <c r="DI202" s="253"/>
      <c r="DJ202" s="253"/>
      <c r="DK202" s="253"/>
      <c r="DL202" s="253"/>
      <c r="DM202" s="253"/>
      <c r="DN202" s="253"/>
      <c r="DO202" s="253"/>
      <c r="DP202" s="253"/>
      <c r="DQ202" s="253"/>
      <c r="DR202" s="253"/>
      <c r="DS202" s="253"/>
      <c r="DT202" s="253"/>
      <c r="DU202" s="253"/>
      <c r="DV202" s="253"/>
      <c r="DW202" s="253"/>
      <c r="DX202" s="253"/>
      <c r="DY202" s="253"/>
      <c r="DZ202" s="253"/>
      <c r="EA202" s="253"/>
      <c r="EB202" s="253"/>
      <c r="EC202" s="253"/>
      <c r="ED202" s="253"/>
      <c r="EE202" s="253"/>
      <c r="EF202" s="253"/>
      <c r="EG202" s="253"/>
      <c r="EH202" s="253"/>
      <c r="EI202" s="253"/>
      <c r="EJ202" s="253"/>
      <c r="EK202" s="253"/>
      <c r="EL202" s="253"/>
      <c r="EM202" s="253"/>
      <c r="EN202" s="253"/>
      <c r="EO202" s="253"/>
      <c r="EP202" s="253"/>
      <c r="EQ202" s="253"/>
      <c r="ER202" s="253"/>
      <c r="ES202" s="253"/>
      <c r="ET202" s="253"/>
      <c r="EU202" s="253"/>
      <c r="EV202" s="253"/>
      <c r="EW202" s="253"/>
      <c r="EX202" s="253"/>
      <c r="EY202" s="253"/>
      <c r="EZ202" s="253"/>
      <c r="FA202" s="253"/>
      <c r="FB202" s="253"/>
      <c r="FC202" s="253"/>
      <c r="FD202" s="253"/>
      <c r="FE202" s="253"/>
      <c r="FF202" s="253"/>
      <c r="FG202" s="253"/>
      <c r="FH202" s="253"/>
      <c r="FI202" s="253"/>
      <c r="FJ202" s="253"/>
      <c r="FK202" s="253"/>
      <c r="FL202" s="253"/>
      <c r="FM202" s="253"/>
      <c r="FN202" s="253"/>
      <c r="FO202" s="253"/>
      <c r="FP202" s="253"/>
      <c r="FQ202" s="253"/>
      <c r="FR202" s="253"/>
      <c r="FS202" s="253"/>
      <c r="FT202" s="253"/>
      <c r="FU202" s="253"/>
      <c r="FV202" s="253"/>
      <c r="FW202" s="253"/>
      <c r="FX202" s="253"/>
      <c r="FY202" s="253"/>
      <c r="FZ202" s="253"/>
      <c r="GA202" s="253"/>
      <c r="GB202" s="253"/>
      <c r="GC202" s="253"/>
      <c r="GD202" s="253"/>
      <c r="GE202" s="253"/>
      <c r="GF202" s="253"/>
      <c r="GG202" s="253"/>
      <c r="GH202" s="253"/>
      <c r="GI202" s="253"/>
      <c r="GJ202" s="253"/>
      <c r="GK202" s="253"/>
      <c r="GL202" s="253"/>
      <c r="GM202" s="253"/>
      <c r="GN202" s="253"/>
      <c r="GO202" s="253"/>
      <c r="GP202" s="253"/>
      <c r="GQ202" s="253"/>
      <c r="GR202" s="253"/>
      <c r="GS202" s="253"/>
      <c r="GT202" s="253"/>
      <c r="GU202" s="253"/>
      <c r="GV202" s="253"/>
      <c r="GW202" s="253"/>
      <c r="GX202" s="253"/>
      <c r="GY202" s="253"/>
      <c r="GZ202" s="253"/>
      <c r="HA202" s="253"/>
      <c r="HB202" s="253"/>
      <c r="HC202" s="253"/>
      <c r="HD202" s="253"/>
      <c r="HE202" s="253"/>
      <c r="HF202" s="253"/>
      <c r="HG202" s="253"/>
      <c r="HH202" s="253"/>
      <c r="HI202" s="253"/>
      <c r="HJ202" s="253"/>
      <c r="HK202" s="253"/>
      <c r="HL202" s="253"/>
      <c r="HM202" s="253"/>
      <c r="HN202" s="253"/>
      <c r="HO202" s="253"/>
      <c r="HP202" s="253"/>
      <c r="HQ202" s="253"/>
      <c r="HR202" s="253"/>
      <c r="HS202" s="253"/>
      <c r="HT202" s="253"/>
      <c r="HU202" s="253"/>
      <c r="HV202" s="253"/>
      <c r="HW202" s="253"/>
      <c r="HX202" s="253"/>
      <c r="HY202" s="253"/>
      <c r="HZ202" s="253"/>
      <c r="IA202" s="253"/>
      <c r="IB202" s="253"/>
      <c r="IC202" s="253"/>
      <c r="ID202" s="253"/>
      <c r="IE202" s="253"/>
      <c r="IF202" s="253"/>
      <c r="IG202" s="253"/>
      <c r="IH202" s="253"/>
      <c r="II202" s="253"/>
    </row>
    <row r="203" spans="1:243" ht="12.75" customHeight="1">
      <c r="D203" t="s">
        <v>468</v>
      </c>
      <c r="F203"/>
      <c r="K203" s="578">
        <f>-K129</f>
        <v>16</v>
      </c>
      <c r="L203" s="578">
        <f t="shared" ref="L203:O203" si="77">-L129</f>
        <v>17</v>
      </c>
      <c r="M203" s="578">
        <f t="shared" si="77"/>
        <v>17.3</v>
      </c>
      <c r="N203" s="578">
        <f t="shared" si="77"/>
        <v>17.5</v>
      </c>
      <c r="O203" s="578">
        <f t="shared" si="77"/>
        <v>18</v>
      </c>
    </row>
    <row r="204" spans="1:243">
      <c r="B204" s="565">
        <v>1</v>
      </c>
      <c r="D204" t="s">
        <v>39</v>
      </c>
      <c r="F204"/>
      <c r="H204" s="31"/>
      <c r="I204" s="31"/>
      <c r="J204" s="31"/>
      <c r="K204" s="421">
        <f>$J$163/$F$199</f>
        <v>15.907999999999999</v>
      </c>
      <c r="L204" s="421">
        <f>$J$163/$F$199</f>
        <v>15.907999999999999</v>
      </c>
      <c r="M204" s="421">
        <f>$J$163/$F$199</f>
        <v>15.907999999999999</v>
      </c>
      <c r="N204" s="421">
        <f>$J$163/$F$199</f>
        <v>15.907999999999999</v>
      </c>
      <c r="O204" s="421">
        <f>$J$163/$F$199</f>
        <v>15.907999999999999</v>
      </c>
      <c r="R204" t="s">
        <v>457</v>
      </c>
    </row>
    <row r="205" spans="1:243">
      <c r="F205"/>
      <c r="R205">
        <f>-SUMIF($K$119:$O$119,D207,$K$129:$O$129)</f>
        <v>16</v>
      </c>
    </row>
    <row r="206" spans="1:243" ht="13">
      <c r="B206" s="565">
        <v>2</v>
      </c>
      <c r="D206" s="257" t="s">
        <v>51</v>
      </c>
      <c r="F206"/>
      <c r="R206">
        <f>-SUMIF($K$119:$O$119,D208,$K$129:$O$129)</f>
        <v>17</v>
      </c>
    </row>
    <row r="207" spans="1:243">
      <c r="D207" s="283">
        <v>2023</v>
      </c>
      <c r="E207" s="566">
        <f>-HLOOKUP(D207, $K$119:$O$129,ROWS($J$119:$J$129),FALSE )</f>
        <v>16</v>
      </c>
      <c r="H207" s="252"/>
      <c r="J207" s="252"/>
      <c r="K207" s="427">
        <f>IF(K$197=$D207,($E207/$F$200*0.5),MIN($E207/$F$200,$E207-SUM($J207:J207)))</f>
        <v>0.26666666666666666</v>
      </c>
      <c r="L207" s="427">
        <f>IF(L$197=$D207,($E207/$F$200*0.5),MIN($E207/$F$200,$E207-SUM($J207:K207)))</f>
        <v>0.53333333333333333</v>
      </c>
      <c r="M207" s="427">
        <f>IF(M$197=$D207,($E207/$F$200*0.5),MIN($E207/$F$200,$E207-SUM($J207:L207)))</f>
        <v>0.53333333333333333</v>
      </c>
      <c r="N207" s="427">
        <f>IF(N$197=$D207,($E207/$F$200*0.5),MIN($E207/$F$200,$E207-SUM($J207:M207)))</f>
        <v>0.53333333333333333</v>
      </c>
      <c r="O207" s="427">
        <f>IF(O$197=$D207,($E207/$F$200*0.5),MIN($E207/$F$200,$E207-SUM($J207:N207)))</f>
        <v>0.53333333333333333</v>
      </c>
      <c r="R207">
        <f>-SUMIF($K$119:$O$119,D209,$K$129:$O$129)</f>
        <v>17.3</v>
      </c>
    </row>
    <row r="208" spans="1:243">
      <c r="D208" s="283">
        <v>2024</v>
      </c>
      <c r="E208" s="566">
        <f>-HLOOKUP(D208, $K$119:$O$129,ROWS($J$119:$J$129),FALSE )</f>
        <v>17</v>
      </c>
      <c r="H208" s="252"/>
      <c r="J208" s="252"/>
      <c r="K208" s="427"/>
      <c r="L208" s="427">
        <f>IF(L$197=$D208,($E208/$F$200*0.5),MIN($E208/$F$200,$E208-SUM($J208:K208)))</f>
        <v>0.28333333333333333</v>
      </c>
      <c r="M208" s="427">
        <f>IF(M$197=$D208,($E208/$F$200*0.5),MIN($E208/$F$200,$E208-SUM($J208:L208)))</f>
        <v>0.56666666666666665</v>
      </c>
      <c r="N208" s="427">
        <f>IF(N$197=$D208,($E208/$F$200*0.5),MIN($E208/$F$200,$E208-SUM($J208:M208)))</f>
        <v>0.56666666666666665</v>
      </c>
      <c r="O208" s="427">
        <f>IF(O$197=$D208,($E208/$F$200*0.5),MIN($E208/$F$200,$E208-SUM($J208:N208)))</f>
        <v>0.56666666666666665</v>
      </c>
      <c r="R208">
        <f>-SUMIF($K$119:$O$119,D210,$K$129:$O$129)</f>
        <v>17.5</v>
      </c>
    </row>
    <row r="209" spans="1:18">
      <c r="D209" s="283">
        <v>2025</v>
      </c>
      <c r="E209" s="566">
        <f>-HLOOKUP(D209, $K$119:$O$129,ROWS($J$119:$J$129),FALSE )</f>
        <v>17.3</v>
      </c>
      <c r="H209" s="149"/>
      <c r="J209" s="149"/>
      <c r="K209" s="427"/>
      <c r="L209" s="427"/>
      <c r="M209" s="427">
        <f>IF(M$197=$D209,($E209/$F$200*0.5),MIN($E209/$F$200,$E209-SUM($J209:L209)))</f>
        <v>0.28833333333333333</v>
      </c>
      <c r="N209" s="427">
        <f>IF(N$197=$D209,($E209/$F$200*0.5),MIN($E209/$F$200,$E209-SUM($J209:M209)))</f>
        <v>0.57666666666666666</v>
      </c>
      <c r="O209" s="427">
        <f>IF(O$197=$D209,($E209/$F$200*0.5),MIN($E209/$F$200,$E209-SUM($J209:N209)))</f>
        <v>0.57666666666666666</v>
      </c>
      <c r="R209">
        <f>-SUMIF($K$119:$O$119,D211,$K$129:$O$129)</f>
        <v>18</v>
      </c>
    </row>
    <row r="210" spans="1:18">
      <c r="D210" s="283">
        <v>2026</v>
      </c>
      <c r="E210" s="566">
        <f>-HLOOKUP(D210, $K$119:$O$129,ROWS($J$119:$J$129),FALSE )</f>
        <v>17.5</v>
      </c>
      <c r="H210" s="149"/>
      <c r="J210" s="149"/>
      <c r="K210" s="181"/>
      <c r="L210" s="427"/>
      <c r="M210" s="427"/>
      <c r="N210" s="427">
        <f>IF(N$197=$D210,($E210/$F$200*0.5),MIN($E210/$F$200,$E210-SUM($J210:M210)))</f>
        <v>0.29166666666666669</v>
      </c>
      <c r="O210" s="427">
        <f>IF(O$197=$D210,($E210/$F$200*0.5),MIN($E210/$F$200,$E210-SUM($J210:N210)))</f>
        <v>0.58333333333333337</v>
      </c>
    </row>
    <row r="211" spans="1:18">
      <c r="D211" s="283">
        <v>2027</v>
      </c>
      <c r="E211" s="566">
        <f>-HLOOKUP(D211, $K$119:$O$129,ROWS($J$119:$J$129),FALSE )</f>
        <v>18</v>
      </c>
      <c r="F211" s="421"/>
      <c r="H211" s="149"/>
      <c r="J211" s="149"/>
      <c r="K211" s="181"/>
      <c r="L211" s="181"/>
      <c r="M211" s="427"/>
      <c r="N211" s="427"/>
      <c r="O211" s="427">
        <f>IF(O$197=$D211,($E211/$F$200*0.5),MIN($E211/$F$200,$E211-SUM($J211:N211)))</f>
        <v>0.3</v>
      </c>
    </row>
    <row r="212" spans="1:18" ht="13" thickBot="1"/>
    <row r="213" spans="1:18" ht="13.5" thickBot="1">
      <c r="A213" s="568"/>
      <c r="B213" s="568"/>
      <c r="C213" s="568"/>
      <c r="D213" s="569" t="s">
        <v>40</v>
      </c>
      <c r="E213" s="568"/>
      <c r="F213" s="570"/>
      <c r="G213" s="568"/>
      <c r="H213" s="571"/>
      <c r="I213" s="571"/>
      <c r="J213" s="571"/>
      <c r="K213" s="580">
        <f>SUM(K204:K212)</f>
        <v>16.174666666666667</v>
      </c>
      <c r="L213" s="580">
        <f t="shared" ref="L213:O213" si="78">SUM(L204:L212)</f>
        <v>16.724666666666668</v>
      </c>
      <c r="M213" s="580">
        <f t="shared" si="78"/>
        <v>17.296333333333333</v>
      </c>
      <c r="N213" s="580">
        <f t="shared" si="78"/>
        <v>17.876333333333335</v>
      </c>
      <c r="O213" s="580">
        <f t="shared" si="78"/>
        <v>18.468</v>
      </c>
    </row>
    <row r="214" spans="1:18" ht="13">
      <c r="D214" s="572" t="s">
        <v>466</v>
      </c>
      <c r="H214" s="573"/>
      <c r="I214" s="573"/>
      <c r="J214" s="573"/>
      <c r="K214" s="579">
        <f>K202+K203-K213</f>
        <v>397.52533333333332</v>
      </c>
      <c r="L214" s="579">
        <f t="shared" ref="L214:O214" si="79">L202+L203-L213</f>
        <v>397.80066666666664</v>
      </c>
      <c r="M214" s="579">
        <f t="shared" si="79"/>
        <v>397.80433333333332</v>
      </c>
      <c r="N214" s="579">
        <f t="shared" si="79"/>
        <v>397.428</v>
      </c>
      <c r="O214" s="579">
        <f t="shared" si="79"/>
        <v>396.96</v>
      </c>
    </row>
    <row r="215" spans="1:18" ht="13">
      <c r="D215" s="572"/>
      <c r="H215" s="573"/>
      <c r="I215" s="573"/>
      <c r="J215" s="573"/>
      <c r="K215" s="181"/>
      <c r="L215" s="181"/>
      <c r="M215" s="181"/>
      <c r="N215" s="181"/>
      <c r="O215" s="181"/>
    </row>
    <row r="216" spans="1:18" ht="13">
      <c r="D216" s="572"/>
      <c r="H216" s="573"/>
      <c r="I216" s="573"/>
      <c r="J216" s="573"/>
      <c r="K216" s="181"/>
      <c r="L216" s="181"/>
      <c r="M216" s="181"/>
      <c r="N216" s="181"/>
      <c r="O216" s="181"/>
    </row>
    <row r="217" spans="1:18">
      <c r="B217" s="11"/>
      <c r="C217" s="11"/>
      <c r="D217" s="11"/>
      <c r="E217" s="11"/>
      <c r="F217" s="127"/>
      <c r="G217" s="11"/>
      <c r="H217" s="258"/>
      <c r="I217" s="258"/>
      <c r="J217" s="258"/>
      <c r="K217" s="258"/>
      <c r="L217" s="258"/>
      <c r="M217" s="258"/>
      <c r="N217" s="258"/>
      <c r="O217" s="11"/>
    </row>
    <row r="218" spans="1:18">
      <c r="F218"/>
    </row>
    <row r="219" spans="1:18" ht="12.75" customHeight="1">
      <c r="A219" s="91"/>
      <c r="B219" s="1"/>
      <c r="C219" s="3"/>
      <c r="D219" s="3"/>
      <c r="E219" s="3"/>
      <c r="F219" s="90"/>
      <c r="G219" s="3"/>
      <c r="H219" s="3"/>
      <c r="I219" s="3"/>
      <c r="J219" s="3"/>
      <c r="K219" s="3"/>
      <c r="L219" s="3"/>
      <c r="M219" s="3"/>
      <c r="N219" s="3"/>
      <c r="O219" s="128">
        <f>$O$1</f>
        <v>0</v>
      </c>
    </row>
    <row r="220" spans="1:18" ht="23">
      <c r="B220" s="1" t="str">
        <f>B$2</f>
        <v xml:space="preserve">Blu Containers Company </v>
      </c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</row>
    <row r="221" spans="1:18" ht="18">
      <c r="B221" s="93" t="s">
        <v>46</v>
      </c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</row>
    <row r="222" spans="1:18" ht="3" customHeight="1" thickBot="1">
      <c r="A222" s="92"/>
      <c r="B222" s="358"/>
      <c r="C222" s="359"/>
      <c r="D222" s="359"/>
      <c r="E222" s="359"/>
      <c r="F222" s="360"/>
      <c r="G222" s="359"/>
      <c r="H222" s="359"/>
      <c r="I222" s="359"/>
      <c r="J222" s="359"/>
      <c r="K222" s="359"/>
      <c r="L222" s="359"/>
      <c r="M222" s="359"/>
      <c r="N222" s="359"/>
      <c r="O222" s="359"/>
    </row>
    <row r="223" spans="1:18" ht="13">
      <c r="B223" s="161" t="s">
        <v>143</v>
      </c>
      <c r="F223"/>
    </row>
    <row r="224" spans="1:18" ht="13">
      <c r="F224"/>
      <c r="H224" s="227"/>
      <c r="I224" s="227"/>
      <c r="J224" s="227"/>
      <c r="K224" s="98" t="s">
        <v>2</v>
      </c>
      <c r="L224" s="20"/>
      <c r="M224" s="20"/>
      <c r="N224" s="20"/>
      <c r="O224" s="20"/>
    </row>
    <row r="225" spans="2:16" ht="13">
      <c r="B225" s="259"/>
      <c r="C225" s="260" t="s">
        <v>84</v>
      </c>
      <c r="D225" s="261"/>
      <c r="E225" s="433">
        <f>Assumptions!N39</f>
        <v>0.35</v>
      </c>
      <c r="F225"/>
      <c r="H225" s="129"/>
      <c r="I225" s="129"/>
      <c r="J225" s="352">
        <v>2022</v>
      </c>
      <c r="K225" s="351">
        <f>K$7</f>
        <v>2023</v>
      </c>
      <c r="L225" s="351">
        <f>L$7</f>
        <v>2024</v>
      </c>
      <c r="M225" s="351">
        <f>M$7</f>
        <v>2025</v>
      </c>
      <c r="N225" s="351">
        <f>N$7</f>
        <v>2026</v>
      </c>
      <c r="O225" s="351">
        <f>O$7</f>
        <v>2027</v>
      </c>
    </row>
    <row r="226" spans="2:16" ht="13">
      <c r="B226" s="259"/>
      <c r="C226" s="118"/>
      <c r="E226" s="353"/>
      <c r="F226"/>
      <c r="H226" s="129"/>
      <c r="I226" s="129"/>
      <c r="J226" s="129"/>
      <c r="K226" s="351"/>
      <c r="L226" s="351"/>
      <c r="M226" s="351"/>
      <c r="N226" s="351"/>
      <c r="O226" s="351"/>
    </row>
    <row r="227" spans="2:16">
      <c r="F227"/>
    </row>
    <row r="228" spans="2:16" ht="13">
      <c r="D228" s="100" t="s">
        <v>145</v>
      </c>
      <c r="F228"/>
      <c r="H228" s="262" t="s">
        <v>30</v>
      </c>
      <c r="I228" s="252"/>
      <c r="J228" s="252"/>
      <c r="K228" s="431">
        <f>K98</f>
        <v>45.724575268817176</v>
      </c>
      <c r="L228" s="431">
        <f t="shared" ref="L228:O228" si="80">L98</f>
        <v>19.910312559139793</v>
      </c>
      <c r="M228" s="431">
        <f t="shared" si="80"/>
        <v>60.185522180886039</v>
      </c>
      <c r="N228" s="431">
        <f t="shared" si="80"/>
        <v>51.359145096385859</v>
      </c>
      <c r="O228" s="431">
        <f t="shared" si="80"/>
        <v>29.900329590000055</v>
      </c>
    </row>
    <row r="229" spans="2:16" ht="6" customHeight="1">
      <c r="E229" s="84"/>
      <c r="F229" s="84"/>
      <c r="H229" s="171"/>
      <c r="I229" s="171"/>
      <c r="J229" s="171"/>
      <c r="K229" s="171"/>
      <c r="L229" s="171"/>
      <c r="M229" s="171"/>
      <c r="N229" s="171"/>
      <c r="O229" s="171"/>
    </row>
    <row r="230" spans="2:16" ht="14.5">
      <c r="D230" t="s">
        <v>155</v>
      </c>
      <c r="F230"/>
      <c r="K230" s="432">
        <f>Assumptions!J63</f>
        <v>5</v>
      </c>
      <c r="L230" s="432">
        <f>Assumptions!K63</f>
        <v>5</v>
      </c>
      <c r="M230" s="432">
        <f>Assumptions!L63</f>
        <v>5</v>
      </c>
      <c r="N230" s="432">
        <f>Assumptions!M63</f>
        <v>5</v>
      </c>
      <c r="O230" s="432">
        <f>Assumptions!N63</f>
        <v>5</v>
      </c>
    </row>
    <row r="231" spans="2:16" ht="13">
      <c r="D231" s="220" t="s">
        <v>146</v>
      </c>
      <c r="E231" s="5"/>
      <c r="F231" s="264"/>
      <c r="G231" s="5"/>
      <c r="H231" s="588" t="s">
        <v>31</v>
      </c>
      <c r="I231" s="589"/>
      <c r="J231" s="589"/>
      <c r="K231" s="590">
        <f>K228-K230</f>
        <v>40.724575268817176</v>
      </c>
      <c r="L231" s="590">
        <f t="shared" ref="L231:O231" si="81">L228-L230</f>
        <v>14.910312559139793</v>
      </c>
      <c r="M231" s="590">
        <f t="shared" si="81"/>
        <v>55.185522180886039</v>
      </c>
      <c r="N231" s="590">
        <f t="shared" si="81"/>
        <v>46.359145096385859</v>
      </c>
      <c r="O231" s="590">
        <f t="shared" si="81"/>
        <v>24.900329590000055</v>
      </c>
    </row>
    <row r="232" spans="2:16" ht="13">
      <c r="E232" s="118"/>
      <c r="F232"/>
      <c r="H232" s="252"/>
      <c r="I232" s="252"/>
      <c r="J232" s="252"/>
      <c r="K232" s="427"/>
      <c r="L232" s="427"/>
      <c r="M232" s="427"/>
      <c r="N232" s="427"/>
      <c r="O232" s="427"/>
      <c r="P232" s="181"/>
    </row>
    <row r="233" spans="2:16">
      <c r="D233" s="19" t="str">
        <f>CONCATENATE("Accounting Taxes (",$E$225*100,"% of A)")</f>
        <v>Accounting Taxes (35% of A)</v>
      </c>
      <c r="E233" s="84"/>
      <c r="F233" s="171"/>
      <c r="G233" s="171"/>
      <c r="H233" s="252"/>
      <c r="I233" s="252"/>
      <c r="J233" s="252"/>
      <c r="K233" s="427">
        <f>K228*$E$225</f>
        <v>16.003601344086011</v>
      </c>
      <c r="L233" s="427">
        <f t="shared" ref="L233:O233" si="82">L228*$E$225</f>
        <v>6.9686093956989277</v>
      </c>
      <c r="M233" s="427">
        <f t="shared" si="82"/>
        <v>21.064932763310111</v>
      </c>
      <c r="N233" s="427">
        <f t="shared" si="82"/>
        <v>17.97570078373505</v>
      </c>
      <c r="O233" s="427">
        <f t="shared" si="82"/>
        <v>10.465115356500018</v>
      </c>
    </row>
    <row r="234" spans="2:16">
      <c r="F234" s="263"/>
      <c r="H234" s="252"/>
      <c r="I234" s="252"/>
      <c r="J234" s="252"/>
      <c r="K234" s="252"/>
      <c r="L234" s="252"/>
      <c r="M234" s="252"/>
      <c r="N234" s="252"/>
      <c r="O234" s="252"/>
    </row>
    <row r="235" spans="2:16" ht="13">
      <c r="D235" s="186" t="s">
        <v>85</v>
      </c>
      <c r="E235" s="264"/>
      <c r="F235" s="265"/>
      <c r="G235" s="265"/>
      <c r="H235" s="265"/>
      <c r="I235" s="265"/>
      <c r="J235" s="265"/>
      <c r="K235" s="265"/>
      <c r="L235" s="265"/>
      <c r="M235" s="265"/>
      <c r="N235" s="265"/>
      <c r="O235" s="428"/>
    </row>
    <row r="236" spans="2:16" ht="13">
      <c r="D236" s="22" t="str">
        <f>CONCATENATE("Current Tax (",$E$225*100,"% of B)")</f>
        <v>Current Tax (35% of B)</v>
      </c>
      <c r="E236" s="84"/>
      <c r="F236" s="171"/>
      <c r="G236" s="266"/>
      <c r="H236" s="252"/>
      <c r="I236" s="252"/>
      <c r="J236" s="252"/>
      <c r="K236" s="427">
        <f>K231*$E$225</f>
        <v>14.253601344086011</v>
      </c>
      <c r="L236" s="427">
        <f t="shared" ref="L236:O236" si="83">L231*$E$225</f>
        <v>5.2186093956989277</v>
      </c>
      <c r="M236" s="427">
        <f t="shared" si="83"/>
        <v>19.314932763310111</v>
      </c>
      <c r="N236" s="427">
        <f t="shared" si="83"/>
        <v>16.22570078373505</v>
      </c>
      <c r="O236" s="427">
        <f t="shared" si="83"/>
        <v>8.7151153565000179</v>
      </c>
    </row>
    <row r="237" spans="2:16">
      <c r="D237" s="6" t="s">
        <v>128</v>
      </c>
      <c r="E237" s="84"/>
      <c r="F237" s="171"/>
      <c r="G237" s="171"/>
      <c r="H237" s="252"/>
      <c r="I237" s="252"/>
      <c r="J237" s="252"/>
      <c r="K237" s="429">
        <f>K233-K236</f>
        <v>1.75</v>
      </c>
      <c r="L237" s="429">
        <f t="shared" ref="L237:O237" si="84">L233-L236</f>
        <v>1.75</v>
      </c>
      <c r="M237" s="429">
        <f t="shared" si="84"/>
        <v>1.75</v>
      </c>
      <c r="N237" s="429">
        <f t="shared" si="84"/>
        <v>1.75</v>
      </c>
      <c r="O237" s="429">
        <f t="shared" si="84"/>
        <v>1.75</v>
      </c>
    </row>
    <row r="238" spans="2:16" ht="13">
      <c r="D238" s="267" t="s">
        <v>86</v>
      </c>
      <c r="E238" s="268"/>
      <c r="F238" s="269"/>
      <c r="G238" s="269"/>
      <c r="H238" s="270"/>
      <c r="I238" s="270"/>
      <c r="J238" s="270"/>
      <c r="K238" s="430">
        <f>SUM(K236:K237)</f>
        <v>16.003601344086011</v>
      </c>
      <c r="L238" s="430">
        <f t="shared" ref="L238:O238" si="85">SUM(L236:L237)</f>
        <v>6.9686093956989277</v>
      </c>
      <c r="M238" s="430">
        <f t="shared" si="85"/>
        <v>21.064932763310111</v>
      </c>
      <c r="N238" s="430">
        <f t="shared" si="85"/>
        <v>17.97570078373505</v>
      </c>
      <c r="O238" s="430">
        <f t="shared" si="85"/>
        <v>10.465115356500018</v>
      </c>
    </row>
    <row r="239" spans="2:16">
      <c r="E239" s="84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</row>
    <row r="240" spans="2:16" ht="13">
      <c r="C240" s="271" t="s">
        <v>147</v>
      </c>
      <c r="E240" s="84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</row>
    <row r="241" spans="1:15" ht="6" customHeight="1">
      <c r="B241" s="11"/>
      <c r="C241" s="11"/>
      <c r="D241" s="11"/>
      <c r="E241" s="272"/>
      <c r="F241" s="272"/>
      <c r="G241" s="273"/>
      <c r="H241" s="273"/>
      <c r="I241" s="273"/>
      <c r="J241" s="273"/>
      <c r="K241" s="273"/>
      <c r="L241" s="273"/>
      <c r="M241" s="273"/>
      <c r="N241" s="273"/>
      <c r="O241" s="11"/>
    </row>
    <row r="243" spans="1:15" ht="12.75" customHeight="1">
      <c r="A243" s="91"/>
      <c r="B243" s="1"/>
      <c r="C243" s="3"/>
      <c r="D243" s="3"/>
      <c r="E243" s="3"/>
      <c r="F243" s="90"/>
      <c r="G243" s="3"/>
      <c r="H243" s="3"/>
      <c r="I243" s="3"/>
      <c r="J243" s="3"/>
      <c r="K243" s="3"/>
      <c r="L243" s="3"/>
      <c r="M243" s="3"/>
      <c r="N243" s="3"/>
      <c r="O243" s="128">
        <f>$O$1</f>
        <v>0</v>
      </c>
    </row>
    <row r="244" spans="1:15" ht="23">
      <c r="B244" s="1" t="str">
        <f>B$2</f>
        <v xml:space="preserve">Blu Containers Company </v>
      </c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</row>
    <row r="245" spans="1:15" ht="18">
      <c r="B245" s="93" t="s">
        <v>47</v>
      </c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</row>
    <row r="246" spans="1:15" ht="3" customHeight="1" thickBot="1">
      <c r="A246" s="92"/>
      <c r="B246" s="358"/>
      <c r="C246" s="359"/>
      <c r="D246" s="359"/>
      <c r="E246" s="359"/>
      <c r="F246" s="360"/>
      <c r="G246" s="359"/>
      <c r="H246" s="359"/>
      <c r="I246" s="359"/>
      <c r="J246" s="359"/>
      <c r="K246" s="359"/>
      <c r="L246" s="359"/>
      <c r="M246" s="359"/>
      <c r="N246" s="359"/>
      <c r="O246" s="359"/>
    </row>
    <row r="247" spans="1:15" ht="13">
      <c r="B247" s="161" t="s">
        <v>143</v>
      </c>
      <c r="F247"/>
      <c r="O247" s="19"/>
    </row>
    <row r="248" spans="1:15" ht="13">
      <c r="F248"/>
      <c r="H248" s="3"/>
      <c r="I248" s="3"/>
      <c r="J248" s="3"/>
      <c r="K248" s="98" t="s">
        <v>2</v>
      </c>
      <c r="L248" s="20"/>
      <c r="M248" s="20"/>
      <c r="N248" s="20"/>
      <c r="O248" s="20"/>
    </row>
    <row r="249" spans="1:15" ht="12" customHeight="1">
      <c r="F249"/>
      <c r="G249" s="199"/>
      <c r="H249" s="349">
        <f t="shared" ref="H249:J249" si="86">H$7</f>
        <v>2020</v>
      </c>
      <c r="I249" s="349">
        <f t="shared" si="86"/>
        <v>2021</v>
      </c>
      <c r="J249" s="349">
        <f t="shared" si="86"/>
        <v>2022</v>
      </c>
      <c r="K249" s="351">
        <f>K$7</f>
        <v>2023</v>
      </c>
      <c r="L249" s="351">
        <f>L$7</f>
        <v>2024</v>
      </c>
      <c r="M249" s="351">
        <f>M$7</f>
        <v>2025</v>
      </c>
      <c r="N249" s="351">
        <f>N$7</f>
        <v>2026</v>
      </c>
      <c r="O249" s="351">
        <f>O$7</f>
        <v>2027</v>
      </c>
    </row>
    <row r="250" spans="1:15" ht="12" customHeight="1">
      <c r="F250"/>
    </row>
    <row r="251" spans="1:15">
      <c r="B251" s="164" t="s">
        <v>95</v>
      </c>
      <c r="C251" s="165"/>
      <c r="D251" s="165"/>
      <c r="E251" s="165"/>
      <c r="F251" s="274" t="s">
        <v>58</v>
      </c>
      <c r="G251" s="165"/>
      <c r="H251" s="425"/>
      <c r="I251" s="425">
        <f t="shared" ref="I251" si="87">DATE(I249,12,31)-DATE(H249,12,31)</f>
        <v>365</v>
      </c>
      <c r="J251" s="425">
        <f>DATE(J249,12,31)-DATE(I249,12,31)</f>
        <v>365</v>
      </c>
      <c r="K251" s="425">
        <f t="shared" ref="K251:O251" si="88">DATE(K249,12,31)-DATE(J249,12,31)</f>
        <v>365</v>
      </c>
      <c r="L251" s="425">
        <f t="shared" si="88"/>
        <v>366</v>
      </c>
      <c r="M251" s="425">
        <f>DATE(M249,12,31)-DATE(L249,12,31)</f>
        <v>365</v>
      </c>
      <c r="N251" s="425">
        <f t="shared" si="88"/>
        <v>365</v>
      </c>
      <c r="O251" s="425">
        <f t="shared" si="88"/>
        <v>365</v>
      </c>
    </row>
    <row r="252" spans="1:15">
      <c r="F252" s="101"/>
    </row>
    <row r="253" spans="1:15" ht="13">
      <c r="A253" s="237">
        <v>1</v>
      </c>
      <c r="B253" s="118" t="s">
        <v>123</v>
      </c>
      <c r="F253" s="101"/>
    </row>
    <row r="254" spans="1:15">
      <c r="D254" t="s">
        <v>3</v>
      </c>
      <c r="F254" s="101" t="s">
        <v>562</v>
      </c>
      <c r="H254" s="181"/>
      <c r="I254" s="181">
        <f t="shared" ref="I254:O254" si="89">I85</f>
        <v>236.60000000000002</v>
      </c>
      <c r="J254" s="181">
        <f t="shared" si="89"/>
        <v>204.79999999999998</v>
      </c>
      <c r="K254" s="181">
        <f>K85</f>
        <v>252.46209677419353</v>
      </c>
      <c r="L254" s="181">
        <f t="shared" si="89"/>
        <v>233.58111483870971</v>
      </c>
      <c r="M254" s="181">
        <f t="shared" si="89"/>
        <v>281.23110855638714</v>
      </c>
      <c r="N254" s="181">
        <f t="shared" si="89"/>
        <v>281.22955436627001</v>
      </c>
      <c r="O254" s="181">
        <f t="shared" si="89"/>
        <v>268.17287049000004</v>
      </c>
    </row>
    <row r="255" spans="1:15">
      <c r="D255" t="s">
        <v>558</v>
      </c>
      <c r="F255" s="101" t="s">
        <v>562</v>
      </c>
      <c r="H255" s="181"/>
      <c r="I255" s="181">
        <f t="shared" ref="I255:O255" si="90">I87</f>
        <v>164.6</v>
      </c>
      <c r="J255" s="181">
        <f t="shared" si="90"/>
        <v>167.9</v>
      </c>
      <c r="K255" s="181">
        <f t="shared" si="90"/>
        <v>174.68685483870968</v>
      </c>
      <c r="L255" s="181">
        <f t="shared" si="90"/>
        <v>182.49261561290325</v>
      </c>
      <c r="M255" s="181">
        <f t="shared" si="90"/>
        <v>190.71666264216776</v>
      </c>
      <c r="N255" s="181">
        <f t="shared" si="90"/>
        <v>200.36067077655082</v>
      </c>
      <c r="O255" s="181">
        <f t="shared" si="90"/>
        <v>209.56780061099997</v>
      </c>
    </row>
    <row r="256" spans="1:15">
      <c r="F256" s="101"/>
    </row>
    <row r="257" spans="1:18" ht="13">
      <c r="A257" s="237">
        <v>2</v>
      </c>
      <c r="B257" s="275" t="s">
        <v>27</v>
      </c>
      <c r="C257" s="276"/>
      <c r="E257" s="237" t="s">
        <v>563</v>
      </c>
      <c r="F257" s="101"/>
      <c r="I257" t="s">
        <v>570</v>
      </c>
      <c r="K257" t="s">
        <v>569</v>
      </c>
    </row>
    <row r="258" spans="1:18">
      <c r="B258" s="277"/>
      <c r="C258" s="276"/>
      <c r="D258" t="s">
        <v>559</v>
      </c>
      <c r="F258" s="101" t="s">
        <v>58</v>
      </c>
      <c r="G258" s="278"/>
      <c r="H258" s="279"/>
      <c r="I258" s="125">
        <f>I266/I254*I251</f>
        <v>42.886728655959423</v>
      </c>
      <c r="J258" s="125">
        <f>J266/J254*J251</f>
        <v>50.437011718750007</v>
      </c>
      <c r="K258" s="426" cm="1">
        <f t="array" ref="K258:O258">Assumptions!J66:N66</f>
        <v>48</v>
      </c>
      <c r="L258" s="426">
        <v>44</v>
      </c>
      <c r="M258" s="426">
        <v>40</v>
      </c>
      <c r="N258" s="426">
        <v>40</v>
      </c>
      <c r="O258" s="426">
        <v>40</v>
      </c>
    </row>
    <row r="259" spans="1:18">
      <c r="B259" s="277"/>
      <c r="C259" s="280"/>
      <c r="D259" t="s">
        <v>560</v>
      </c>
      <c r="F259" s="101" t="s">
        <v>58</v>
      </c>
      <c r="G259" s="278"/>
      <c r="H259" s="279"/>
      <c r="I259" s="125">
        <f>I267*365/I255</f>
        <v>80.051640340218711</v>
      </c>
      <c r="J259" s="125">
        <f>J267*365/J$255</f>
        <v>76.304347826086953</v>
      </c>
      <c r="K259" s="426">
        <f>Assumptions!J67</f>
        <v>70</v>
      </c>
      <c r="L259" s="426">
        <f>Assumptions!K67</f>
        <v>65</v>
      </c>
      <c r="M259" s="426">
        <f>Assumptions!L67</f>
        <v>60</v>
      </c>
      <c r="N259" s="426">
        <f>Assumptions!M67</f>
        <v>60</v>
      </c>
      <c r="O259" s="426">
        <f>Assumptions!N67</f>
        <v>55</v>
      </c>
    </row>
    <row r="260" spans="1:18">
      <c r="B260" s="277"/>
      <c r="C260" s="280"/>
      <c r="D260" t="s">
        <v>138</v>
      </c>
      <c r="F260" s="101" t="s">
        <v>58</v>
      </c>
      <c r="G260" s="281"/>
      <c r="H260" s="282"/>
      <c r="I260" s="125">
        <f>I268*365/I$255</f>
        <v>31.93195625759417</v>
      </c>
      <c r="J260" s="125">
        <f>J268*365/J$255</f>
        <v>32.391304347826086</v>
      </c>
      <c r="K260" s="426">
        <f>Assumptions!J68</f>
        <v>30</v>
      </c>
      <c r="L260" s="426">
        <f>Assumptions!K68</f>
        <v>30</v>
      </c>
      <c r="M260" s="426">
        <f>Assumptions!L68</f>
        <v>30</v>
      </c>
      <c r="N260" s="426">
        <f>Assumptions!M68</f>
        <v>30</v>
      </c>
      <c r="O260" s="426">
        <f>Assumptions!N68</f>
        <v>30</v>
      </c>
    </row>
    <row r="261" spans="1:18">
      <c r="B261" s="277"/>
      <c r="C261" s="280"/>
      <c r="D261" t="s">
        <v>561</v>
      </c>
      <c r="F261" s="101" t="s">
        <v>58</v>
      </c>
      <c r="G261" s="281"/>
      <c r="H261" s="282"/>
      <c r="I261" s="125">
        <f>I269*365/I$255</f>
        <v>3.9914945321992712</v>
      </c>
      <c r="J261" s="125">
        <f>J269*365/J$255</f>
        <v>2.6086956521739131</v>
      </c>
      <c r="K261" s="426">
        <f>Assumptions!J69</f>
        <v>3</v>
      </c>
      <c r="L261" s="426">
        <f>Assumptions!K69</f>
        <v>3</v>
      </c>
      <c r="M261" s="426">
        <f>Assumptions!L69</f>
        <v>3</v>
      </c>
      <c r="N261" s="426">
        <f>Assumptions!M69</f>
        <v>3</v>
      </c>
      <c r="O261" s="426">
        <f>Assumptions!N69</f>
        <v>3</v>
      </c>
    </row>
    <row r="262" spans="1:18">
      <c r="B262" s="277"/>
      <c r="C262" s="276"/>
      <c r="D262" t="s">
        <v>20</v>
      </c>
      <c r="F262" s="101" t="s">
        <v>58</v>
      </c>
      <c r="G262" s="281"/>
      <c r="H262" s="282"/>
      <c r="I262" s="125">
        <f>I270*365/I$255</f>
        <v>41.467193195625768</v>
      </c>
      <c r="J262" s="125">
        <f>J270*365/J$255</f>
        <v>39.565217391304344</v>
      </c>
      <c r="K262" s="426">
        <f>Assumptions!J70</f>
        <v>40</v>
      </c>
      <c r="L262" s="426">
        <f>Assumptions!K70</f>
        <v>40</v>
      </c>
      <c r="M262" s="426">
        <f>Assumptions!L70</f>
        <v>40</v>
      </c>
      <c r="N262" s="426">
        <f>Assumptions!M70</f>
        <v>40</v>
      </c>
      <c r="O262" s="426">
        <f>Assumptions!N70</f>
        <v>40</v>
      </c>
    </row>
    <row r="263" spans="1:18" ht="13">
      <c r="B263" s="277"/>
      <c r="C263" s="276"/>
      <c r="D263" t="s">
        <v>252</v>
      </c>
      <c r="F263" s="101" t="s">
        <v>58</v>
      </c>
      <c r="G263" s="281"/>
      <c r="H263" s="282"/>
      <c r="I263" s="125">
        <f>I271*365/I$255</f>
        <v>10.865735115431351</v>
      </c>
      <c r="J263" s="125">
        <f>J271*365/J$255</f>
        <v>10.434782608695652</v>
      </c>
      <c r="K263" s="426">
        <f>Assumptions!J71</f>
        <v>10</v>
      </c>
      <c r="L263" s="426">
        <f>Assumptions!K71</f>
        <v>10</v>
      </c>
      <c r="M263" s="426">
        <f>Assumptions!L71</f>
        <v>10</v>
      </c>
      <c r="N263" s="426">
        <f>Assumptions!M71</f>
        <v>10</v>
      </c>
      <c r="O263" s="426">
        <f>Assumptions!N71</f>
        <v>10</v>
      </c>
      <c r="R263" s="237" t="s">
        <v>564</v>
      </c>
    </row>
    <row r="264" spans="1:18">
      <c r="B264" s="277"/>
      <c r="C264" s="276"/>
      <c r="F264" s="101"/>
      <c r="H264" s="283"/>
      <c r="I264" s="283"/>
      <c r="J264" s="283"/>
      <c r="K264" s="283"/>
      <c r="L264" s="283"/>
      <c r="M264" s="283"/>
      <c r="N264" s="283"/>
      <c r="O264" s="283"/>
    </row>
    <row r="265" spans="1:18" ht="13">
      <c r="A265" s="237">
        <v>3</v>
      </c>
      <c r="B265" s="275" t="s">
        <v>28</v>
      </c>
      <c r="C265" s="276"/>
      <c r="F265" s="101"/>
      <c r="H265" s="283"/>
      <c r="I265" s="283"/>
      <c r="J265" s="283"/>
      <c r="K265" s="283"/>
      <c r="L265" s="283"/>
      <c r="M265" s="283"/>
      <c r="N265" s="283"/>
      <c r="O265" s="283"/>
    </row>
    <row r="266" spans="1:18">
      <c r="B266" s="277"/>
      <c r="C266" s="276"/>
      <c r="D266" t="s">
        <v>559</v>
      </c>
      <c r="F266" s="101" t="s">
        <v>562</v>
      </c>
      <c r="H266" s="125"/>
      <c r="I266" s="125">
        <f>I157</f>
        <v>27.8</v>
      </c>
      <c r="J266" s="125">
        <f t="shared" ref="J266" si="91">J157</f>
        <v>28.3</v>
      </c>
      <c r="K266" s="125">
        <f>K258*K$254/K$251</f>
        <v>33.200494918250108</v>
      </c>
      <c r="L266" s="125">
        <f t="shared" ref="L266:O266" si="92">L258*L$254/L$251</f>
        <v>28.080789762030676</v>
      </c>
      <c r="M266" s="125">
        <f t="shared" si="92"/>
        <v>30.81984751302873</v>
      </c>
      <c r="N266" s="125">
        <f t="shared" si="92"/>
        <v>30.819677190824109</v>
      </c>
      <c r="O266" s="125">
        <f t="shared" si="92"/>
        <v>29.388807724931514</v>
      </c>
    </row>
    <row r="267" spans="1:18">
      <c r="B267" s="277"/>
      <c r="C267" s="280"/>
      <c r="D267" t="s">
        <v>560</v>
      </c>
      <c r="F267" s="101" t="s">
        <v>562</v>
      </c>
      <c r="H267" s="125"/>
      <c r="I267" s="125">
        <f>I158</f>
        <v>36.1</v>
      </c>
      <c r="J267" s="125">
        <f t="shared" ref="J267" si="93">J158</f>
        <v>35.1</v>
      </c>
      <c r="K267" s="125">
        <f>K259*K$255/K$251</f>
        <v>33.501588599204595</v>
      </c>
      <c r="L267" s="125">
        <f t="shared" ref="L267:O267" si="94">L259*L$255/L$251</f>
        <v>32.409890750925442</v>
      </c>
      <c r="M267" s="125">
        <f t="shared" si="94"/>
        <v>31.350684269945386</v>
      </c>
      <c r="N267" s="125">
        <f t="shared" si="94"/>
        <v>32.936000675597398</v>
      </c>
      <c r="O267" s="125">
        <f t="shared" si="94"/>
        <v>31.578709681109583</v>
      </c>
    </row>
    <row r="268" spans="1:18">
      <c r="B268" s="277"/>
      <c r="C268" s="280"/>
      <c r="D268" t="s">
        <v>138</v>
      </c>
      <c r="F268" s="101" t="s">
        <v>562</v>
      </c>
      <c r="H268" s="125"/>
      <c r="I268" s="125">
        <f>I159</f>
        <v>14.4</v>
      </c>
      <c r="J268" s="125">
        <f t="shared" ref="J268" si="95">J159</f>
        <v>14.9</v>
      </c>
      <c r="K268" s="125">
        <f t="shared" ref="K268:O268" si="96">K260*K$255/K$251</f>
        <v>14.357823685373399</v>
      </c>
      <c r="L268" s="125">
        <f t="shared" si="96"/>
        <v>14.958411115811742</v>
      </c>
      <c r="M268" s="125">
        <f t="shared" si="96"/>
        <v>15.675342134972693</v>
      </c>
      <c r="N268" s="125">
        <f t="shared" si="96"/>
        <v>16.468000337798699</v>
      </c>
      <c r="O268" s="125">
        <f t="shared" si="96"/>
        <v>17.224750735150682</v>
      </c>
    </row>
    <row r="269" spans="1:18">
      <c r="B269" s="277"/>
      <c r="C269" s="280"/>
      <c r="D269" t="s">
        <v>561</v>
      </c>
      <c r="F269" s="101" t="s">
        <v>562</v>
      </c>
      <c r="H269" s="125"/>
      <c r="I269" s="125">
        <f>I160</f>
        <v>1.8</v>
      </c>
      <c r="J269" s="125">
        <f t="shared" ref="J269" si="97">J160</f>
        <v>1.2</v>
      </c>
      <c r="K269" s="125">
        <f t="shared" ref="K269:O269" si="98">K261*K$255/K$251</f>
        <v>1.4357823685373399</v>
      </c>
      <c r="L269" s="125">
        <f t="shared" si="98"/>
        <v>1.4958411115811743</v>
      </c>
      <c r="M269" s="125">
        <f t="shared" si="98"/>
        <v>1.5675342134972692</v>
      </c>
      <c r="N269" s="125">
        <f t="shared" si="98"/>
        <v>1.6468000337798698</v>
      </c>
      <c r="O269" s="125">
        <f t="shared" si="98"/>
        <v>1.7224750735150682</v>
      </c>
    </row>
    <row r="270" spans="1:18">
      <c r="B270" s="277"/>
      <c r="C270" s="276"/>
      <c r="D270" t="s">
        <v>20</v>
      </c>
      <c r="F270" s="101" t="s">
        <v>562</v>
      </c>
      <c r="H270" s="124"/>
      <c r="I270" s="124">
        <f>I172</f>
        <v>18.700000000000003</v>
      </c>
      <c r="J270" s="124">
        <f t="shared" ref="J270" si="99">J172</f>
        <v>18.2</v>
      </c>
      <c r="K270" s="125">
        <f t="shared" ref="K270:O270" si="100">K262*K$255/K$251</f>
        <v>19.143764913831198</v>
      </c>
      <c r="L270" s="125">
        <f t="shared" si="100"/>
        <v>19.944548154415656</v>
      </c>
      <c r="M270" s="125">
        <f t="shared" si="100"/>
        <v>20.900456179963591</v>
      </c>
      <c r="N270" s="125">
        <f t="shared" si="100"/>
        <v>21.957333783731595</v>
      </c>
      <c r="O270" s="125">
        <f t="shared" si="100"/>
        <v>22.966334313534244</v>
      </c>
    </row>
    <row r="271" spans="1:18">
      <c r="B271" s="277"/>
      <c r="C271" s="276"/>
      <c r="D271" t="s">
        <v>252</v>
      </c>
      <c r="F271" s="101"/>
      <c r="H271" s="124"/>
      <c r="I271" s="124">
        <f>I173</f>
        <v>4.9000000000000004</v>
      </c>
      <c r="J271" s="124">
        <f t="shared" ref="J271" si="101">J173</f>
        <v>4.8</v>
      </c>
      <c r="K271" s="125">
        <f t="shared" ref="K271:O271" si="102">K263*K$255/K$251</f>
        <v>4.7859412284577996</v>
      </c>
      <c r="L271" s="125">
        <f t="shared" si="102"/>
        <v>4.9861370386039141</v>
      </c>
      <c r="M271" s="125">
        <f t="shared" si="102"/>
        <v>5.2251140449908977</v>
      </c>
      <c r="N271" s="125">
        <f t="shared" si="102"/>
        <v>5.4893334459328988</v>
      </c>
      <c r="O271" s="125">
        <f t="shared" si="102"/>
        <v>5.7415835783835609</v>
      </c>
    </row>
    <row r="272" spans="1:18" ht="13">
      <c r="B272" s="277"/>
      <c r="C272" s="284" t="s">
        <v>29</v>
      </c>
      <c r="D272" s="118"/>
      <c r="E272" s="118"/>
      <c r="F272" s="119" t="s">
        <v>562</v>
      </c>
      <c r="H272" s="5"/>
      <c r="I272" s="592">
        <f>SUM(I266:I269)-SUM(I270:I271)</f>
        <v>56.500000000000007</v>
      </c>
      <c r="J272" s="592">
        <f t="shared" ref="J272:O272" si="103">SUM(J266:J269)-SUM(J270:J271)</f>
        <v>56.500000000000014</v>
      </c>
      <c r="K272" s="592">
        <f>SUM(K266:K269)-SUM(K270:K271)</f>
        <v>58.565983429076446</v>
      </c>
      <c r="L272" s="592">
        <f t="shared" si="103"/>
        <v>52.014247547329461</v>
      </c>
      <c r="M272" s="592">
        <f t="shared" si="103"/>
        <v>53.287837906489585</v>
      </c>
      <c r="N272" s="592">
        <f t="shared" si="103"/>
        <v>54.423811008335576</v>
      </c>
      <c r="O272" s="592">
        <f t="shared" si="103"/>
        <v>51.206825322789044</v>
      </c>
    </row>
    <row r="273" spans="1:15">
      <c r="B273" s="277"/>
      <c r="C273" s="276"/>
      <c r="F273" s="119"/>
      <c r="H273" s="283"/>
      <c r="I273" s="283"/>
      <c r="J273" s="283"/>
      <c r="K273" s="283"/>
      <c r="L273" s="283"/>
      <c r="M273" s="283"/>
      <c r="N273" s="283"/>
      <c r="O273" s="283"/>
    </row>
    <row r="274" spans="1:15" ht="13">
      <c r="B274" s="284" t="s">
        <v>102</v>
      </c>
      <c r="C274" s="277"/>
      <c r="F274" s="119" t="s">
        <v>562</v>
      </c>
      <c r="H274" s="283"/>
      <c r="I274" s="283"/>
      <c r="J274" s="593">
        <f>I272-J272</f>
        <v>0</v>
      </c>
      <c r="K274" s="593">
        <f t="shared" ref="K274:O274" si="104">J272-K272</f>
        <v>-2.0659834290764323</v>
      </c>
      <c r="L274" s="593">
        <f t="shared" si="104"/>
        <v>6.5517358817469855</v>
      </c>
      <c r="M274" s="593">
        <f t="shared" si="104"/>
        <v>-1.2735903591601243</v>
      </c>
      <c r="N274" s="593">
        <f t="shared" si="104"/>
        <v>-1.1359731018459911</v>
      </c>
      <c r="O274" s="593">
        <f t="shared" si="104"/>
        <v>3.2169856855465326</v>
      </c>
    </row>
    <row r="275" spans="1:15">
      <c r="B275" s="11"/>
      <c r="C275" s="285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</row>
    <row r="277" spans="1:15" ht="12.75" customHeight="1">
      <c r="A277" s="91"/>
      <c r="B277" s="1"/>
      <c r="C277" s="3"/>
      <c r="D277" s="3"/>
      <c r="E277" s="3"/>
      <c r="F277" s="90"/>
      <c r="G277" s="3"/>
      <c r="H277" s="3"/>
      <c r="I277" s="3"/>
      <c r="J277" s="3"/>
      <c r="K277" s="3"/>
      <c r="L277" s="3"/>
      <c r="M277" s="3"/>
      <c r="N277" s="3"/>
      <c r="O277" s="128">
        <f>$O$1</f>
        <v>0</v>
      </c>
    </row>
    <row r="278" spans="1:15" ht="23">
      <c r="B278" s="1" t="str">
        <f>B$2</f>
        <v xml:space="preserve">Blu Containers Company </v>
      </c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</row>
    <row r="279" spans="1:15" ht="18">
      <c r="B279" s="93" t="s">
        <v>60</v>
      </c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</row>
    <row r="280" spans="1:15" ht="3" customHeight="1" thickBot="1">
      <c r="A280" s="92"/>
      <c r="B280" s="358"/>
      <c r="C280" s="359"/>
      <c r="D280" s="359"/>
      <c r="E280" s="359"/>
      <c r="F280" s="360"/>
      <c r="G280" s="359"/>
      <c r="H280" s="359"/>
      <c r="I280" s="359"/>
      <c r="J280" s="359"/>
      <c r="K280" s="359"/>
      <c r="L280" s="359"/>
      <c r="M280" s="359"/>
      <c r="N280" s="359"/>
      <c r="O280" s="359"/>
    </row>
    <row r="281" spans="1:15" ht="13">
      <c r="B281" s="161" t="s">
        <v>143</v>
      </c>
      <c r="F281"/>
      <c r="O281" s="19"/>
    </row>
    <row r="282" spans="1:15" ht="13">
      <c r="F282"/>
      <c r="H282" s="3"/>
      <c r="I282" s="3"/>
      <c r="J282" s="3"/>
      <c r="K282" s="98" t="s">
        <v>2</v>
      </c>
      <c r="L282" s="20"/>
      <c r="M282" s="20"/>
      <c r="N282" s="20"/>
      <c r="O282" s="20"/>
    </row>
    <row r="283" spans="1:15" ht="13">
      <c r="F283"/>
      <c r="G283" s="199"/>
      <c r="H283" s="286"/>
      <c r="I283" s="286"/>
      <c r="J283" s="349">
        <f t="shared" ref="J283:O283" si="105">J$7</f>
        <v>2022</v>
      </c>
      <c r="K283" s="351">
        <f t="shared" si="105"/>
        <v>2023</v>
      </c>
      <c r="L283" s="351">
        <f t="shared" si="105"/>
        <v>2024</v>
      </c>
      <c r="M283" s="351">
        <f t="shared" si="105"/>
        <v>2025</v>
      </c>
      <c r="N283" s="351">
        <f t="shared" si="105"/>
        <v>2026</v>
      </c>
      <c r="O283" s="351">
        <f t="shared" si="105"/>
        <v>2027</v>
      </c>
    </row>
    <row r="284" spans="1:15" ht="6" customHeight="1"/>
    <row r="285" spans="1:15" ht="13">
      <c r="B285" s="118" t="s">
        <v>112</v>
      </c>
      <c r="K285" s="287"/>
      <c r="L285" s="287"/>
      <c r="M285" s="287"/>
      <c r="N285" s="287"/>
      <c r="O285" s="287"/>
    </row>
    <row r="286" spans="1:15" ht="6" customHeight="1"/>
    <row r="287" spans="1:15" ht="13">
      <c r="C287" s="118" t="s">
        <v>13</v>
      </c>
    </row>
    <row r="288" spans="1:15">
      <c r="D288" t="s">
        <v>607</v>
      </c>
      <c r="K288" s="181">
        <f>J290</f>
        <v>0.3</v>
      </c>
      <c r="L288" s="181">
        <f t="shared" ref="L288:O288" si="106">K290</f>
        <v>-4.2743586448068527E-15</v>
      </c>
      <c r="M288" s="181">
        <f t="shared" si="106"/>
        <v>-4.2743586448068527E-15</v>
      </c>
      <c r="N288" s="181">
        <f t="shared" si="106"/>
        <v>-4.2743586448068527E-15</v>
      </c>
      <c r="O288" s="181">
        <f t="shared" si="106"/>
        <v>1.7815576463834504</v>
      </c>
    </row>
    <row r="289" spans="2:16" ht="13" thickBot="1">
      <c r="D289" t="s">
        <v>608</v>
      </c>
      <c r="H289" t="s">
        <v>621</v>
      </c>
      <c r="K289" s="181">
        <f>K142</f>
        <v>-0.30000000000000426</v>
      </c>
      <c r="L289" s="181">
        <f t="shared" ref="L289:O289" si="107">L142</f>
        <v>0</v>
      </c>
      <c r="M289" s="181">
        <f t="shared" si="107"/>
        <v>0</v>
      </c>
      <c r="N289" s="181">
        <f t="shared" si="107"/>
        <v>1.7815576463834546</v>
      </c>
      <c r="O289" s="181">
        <f t="shared" si="107"/>
        <v>-1.7815576463834475</v>
      </c>
    </row>
    <row r="290" spans="2:16">
      <c r="D290" t="s">
        <v>609</v>
      </c>
      <c r="I290" s="423"/>
      <c r="J290" s="597">
        <f>J156</f>
        <v>0.3</v>
      </c>
      <c r="K290" s="597">
        <f>SUM(K288:K289)</f>
        <v>-4.2743586448068527E-15</v>
      </c>
      <c r="L290" s="597">
        <f t="shared" ref="L290:O290" si="108">SUM(L288:L289)</f>
        <v>-4.2743586448068527E-15</v>
      </c>
      <c r="M290" s="597">
        <f t="shared" si="108"/>
        <v>-4.2743586448068527E-15</v>
      </c>
      <c r="N290" s="597">
        <f t="shared" si="108"/>
        <v>1.7815576463834504</v>
      </c>
      <c r="O290" s="597">
        <f t="shared" si="108"/>
        <v>2.886579864025407E-15</v>
      </c>
    </row>
    <row r="291" spans="2:16" ht="6" customHeight="1"/>
    <row r="292" spans="2:16" ht="13" thickBot="1">
      <c r="D292" t="s">
        <v>610</v>
      </c>
      <c r="K292" s="598">
        <f>Assumptions!$N$28</f>
        <v>0.01</v>
      </c>
      <c r="L292" s="598">
        <f>Assumptions!$N$28</f>
        <v>0.01</v>
      </c>
      <c r="M292" s="598">
        <f>Assumptions!$N$28</f>
        <v>0.01</v>
      </c>
      <c r="N292" s="598">
        <f>Assumptions!$N$28</f>
        <v>0.01</v>
      </c>
      <c r="O292" s="598">
        <f>Assumptions!$N$28</f>
        <v>0.01</v>
      </c>
    </row>
    <row r="293" spans="2:16" ht="13.5" thickBot="1">
      <c r="D293" s="118" t="s">
        <v>63</v>
      </c>
      <c r="J293" s="568"/>
      <c r="K293" s="602">
        <f>K292*K288</f>
        <v>3.0000000000000001E-3</v>
      </c>
      <c r="L293" s="602">
        <f t="shared" ref="L293:O293" si="109">L292*L288</f>
        <v>-4.2743586448068528E-17</v>
      </c>
      <c r="M293" s="602">
        <f t="shared" si="109"/>
        <v>-4.2743586448068528E-17</v>
      </c>
      <c r="N293" s="602">
        <f>N292*N288</f>
        <v>-4.2743586448068528E-17</v>
      </c>
      <c r="O293" s="602">
        <f t="shared" si="109"/>
        <v>1.7815576463834505E-2</v>
      </c>
    </row>
    <row r="294" spans="2:16" ht="6" customHeight="1"/>
    <row r="296" spans="2:16" ht="13">
      <c r="C296" s="118" t="s">
        <v>114</v>
      </c>
    </row>
    <row r="297" spans="2:16" ht="13">
      <c r="B297" s="118"/>
      <c r="D297" t="s">
        <v>611</v>
      </c>
      <c r="H297" s="423" t="s">
        <v>653</v>
      </c>
      <c r="J297" s="288"/>
      <c r="K297" s="424">
        <f>K125</f>
        <v>45.579657162321404</v>
      </c>
      <c r="L297" s="424">
        <f t="shared" ref="L297:O297" si="110">L125</f>
        <v>37.96810571185452</v>
      </c>
      <c r="M297" s="424">
        <f t="shared" si="110"/>
        <v>56.893332391749141</v>
      </c>
      <c r="N297" s="424">
        <f t="shared" si="110"/>
        <v>51.873804544138153</v>
      </c>
      <c r="O297" s="424">
        <f t="shared" si="110"/>
        <v>42.87019991904657</v>
      </c>
    </row>
    <row r="298" spans="2:16" ht="13">
      <c r="B298" s="118"/>
      <c r="D298" t="s">
        <v>612</v>
      </c>
      <c r="H298" s="423" t="str">
        <f>H297</f>
        <v>form cflo statement</v>
      </c>
      <c r="J298" s="288"/>
      <c r="K298" s="424">
        <f>K131</f>
        <v>-16</v>
      </c>
      <c r="L298" s="424">
        <f t="shared" ref="L298:O298" si="111">L131</f>
        <v>-17</v>
      </c>
      <c r="M298" s="424">
        <f t="shared" si="111"/>
        <v>-17.3</v>
      </c>
      <c r="N298" s="424">
        <f t="shared" si="111"/>
        <v>-17.5</v>
      </c>
      <c r="O298" s="424">
        <f t="shared" si="111"/>
        <v>-18</v>
      </c>
    </row>
    <row r="299" spans="2:16" ht="13">
      <c r="B299" s="118"/>
      <c r="D299" t="s">
        <v>613</v>
      </c>
      <c r="H299" s="604" t="s">
        <v>652</v>
      </c>
      <c r="J299" s="288"/>
      <c r="K299" s="424">
        <f>K314</f>
        <v>-25</v>
      </c>
      <c r="L299" s="424">
        <f t="shared" ref="L299:O299" si="112">L314</f>
        <v>-25</v>
      </c>
      <c r="M299" s="424">
        <f t="shared" si="112"/>
        <v>-25</v>
      </c>
      <c r="N299" s="424">
        <f t="shared" si="112"/>
        <v>-25</v>
      </c>
      <c r="O299" s="424">
        <f t="shared" si="112"/>
        <v>-25</v>
      </c>
    </row>
    <row r="300" spans="2:16" ht="13">
      <c r="B300" s="118"/>
      <c r="D300" t="s">
        <v>614</v>
      </c>
      <c r="H300" s="423" t="s">
        <v>654</v>
      </c>
      <c r="J300" s="288"/>
      <c r="K300" s="598">
        <f>Assumptions!J75</f>
        <v>0</v>
      </c>
      <c r="L300" s="598">
        <f>Assumptions!K75</f>
        <v>0</v>
      </c>
      <c r="M300" s="598">
        <f>Assumptions!L75</f>
        <v>0</v>
      </c>
      <c r="N300" s="598">
        <f>Assumptions!M75</f>
        <v>0</v>
      </c>
      <c r="O300" s="598">
        <f>Assumptions!N75</f>
        <v>0</v>
      </c>
      <c r="P300" t="s">
        <v>655</v>
      </c>
    </row>
    <row r="301" spans="2:16" ht="13.5" thickBot="1">
      <c r="B301" s="118"/>
      <c r="D301" t="s">
        <v>619</v>
      </c>
      <c r="H301" s="423" t="str">
        <f>H300</f>
        <v xml:space="preserve">from equity schedule </v>
      </c>
      <c r="J301" s="288"/>
      <c r="K301" s="610">
        <f>-K347</f>
        <v>-5.9441947849462338</v>
      </c>
      <c r="L301" s="610">
        <f t="shared" ref="L301:O301" si="113">-L347</f>
        <v>-2.5883406326881735</v>
      </c>
      <c r="M301" s="610">
        <f t="shared" si="113"/>
        <v>-7.8241178835151857</v>
      </c>
      <c r="N301" s="610">
        <f t="shared" si="113"/>
        <v>-6.6766888625301624</v>
      </c>
      <c r="O301" s="610">
        <f t="shared" si="113"/>
        <v>-3.8870428467000075</v>
      </c>
    </row>
    <row r="302" spans="2:16" ht="13.5" thickBot="1">
      <c r="D302" s="118" t="s">
        <v>119</v>
      </c>
      <c r="J302" s="568"/>
      <c r="K302" s="606">
        <f>SUM(K297:K301)</f>
        <v>-1.3645376226248302</v>
      </c>
      <c r="L302" s="606">
        <f t="shared" ref="L302:O302" si="114">SUM(L297:L301)</f>
        <v>-6.6202349208336537</v>
      </c>
      <c r="M302" s="606">
        <f t="shared" si="114"/>
        <v>6.7692145082339579</v>
      </c>
      <c r="N302" s="606">
        <f t="shared" si="114"/>
        <v>2.6971156816079906</v>
      </c>
      <c r="O302" s="606">
        <f t="shared" si="114"/>
        <v>-4.0168429276534372</v>
      </c>
    </row>
    <row r="303" spans="2:16" ht="13">
      <c r="C303" s="118"/>
    </row>
    <row r="304" spans="2:16">
      <c r="D304" t="s">
        <v>620</v>
      </c>
      <c r="J304" s="181">
        <f>J171</f>
        <v>0</v>
      </c>
      <c r="K304" s="181">
        <f>J306</f>
        <v>0</v>
      </c>
      <c r="L304" s="181">
        <f t="shared" ref="L304:O304" si="115">K306</f>
        <v>1.0645376226248302</v>
      </c>
      <c r="M304" s="181">
        <f t="shared" si="115"/>
        <v>7.6847725434584886</v>
      </c>
      <c r="N304" s="181">
        <f t="shared" si="115"/>
        <v>0.91555803522453516</v>
      </c>
      <c r="O304" s="181">
        <f t="shared" si="115"/>
        <v>0</v>
      </c>
    </row>
    <row r="305" spans="2:15" ht="13.5" thickBot="1">
      <c r="D305" t="s">
        <v>622</v>
      </c>
      <c r="H305" s="237" t="s">
        <v>656</v>
      </c>
      <c r="J305" s="181"/>
      <c r="K305" s="181">
        <f>-MIN(K302+K288,K304)</f>
        <v>1.0645376226248302</v>
      </c>
      <c r="L305" s="181">
        <f t="shared" ref="L305:O305" si="116">-MIN(L302+L288,L304)</f>
        <v>6.6202349208336582</v>
      </c>
      <c r="M305" s="181">
        <f>-MIN(M302+M288,M304)</f>
        <v>-6.7692145082339534</v>
      </c>
      <c r="N305" s="181">
        <f t="shared" si="116"/>
        <v>-0.91555803522453516</v>
      </c>
      <c r="O305" s="181">
        <f t="shared" si="116"/>
        <v>2.235285281269987</v>
      </c>
    </row>
    <row r="306" spans="2:15">
      <c r="D306" t="s">
        <v>623</v>
      </c>
      <c r="I306" s="423"/>
      <c r="J306" s="607">
        <f>SUM(J304:J305)</f>
        <v>0</v>
      </c>
      <c r="K306" s="607">
        <f>K304+K305</f>
        <v>1.0645376226248302</v>
      </c>
      <c r="L306" s="607">
        <f t="shared" ref="L306:O306" si="117">L304+L305</f>
        <v>7.6847725434584886</v>
      </c>
      <c r="M306" s="607">
        <f t="shared" si="117"/>
        <v>0.91555803522453516</v>
      </c>
      <c r="N306" s="607">
        <f t="shared" si="117"/>
        <v>0</v>
      </c>
      <c r="O306" s="607">
        <f t="shared" si="117"/>
        <v>2.235285281269987</v>
      </c>
    </row>
    <row r="307" spans="2:15" ht="6" customHeight="1"/>
    <row r="308" spans="2:15" ht="13" thickBot="1">
      <c r="D308" t="s">
        <v>610</v>
      </c>
      <c r="J308" s="598">
        <f>Assumptions!$N$29</f>
        <v>0.06</v>
      </c>
      <c r="K308" s="598">
        <f>Assumptions!$N$29</f>
        <v>0.06</v>
      </c>
      <c r="L308" s="598">
        <f>Assumptions!$N$29</f>
        <v>0.06</v>
      </c>
      <c r="M308" s="598">
        <f>Assumptions!$N$29</f>
        <v>0.06</v>
      </c>
      <c r="N308" s="598">
        <f>Assumptions!$N$29</f>
        <v>0.06</v>
      </c>
      <c r="O308" s="598">
        <f>Assumptions!$N$29</f>
        <v>0.06</v>
      </c>
    </row>
    <row r="309" spans="2:15" ht="13.5" thickBot="1">
      <c r="D309" s="118" t="s">
        <v>62</v>
      </c>
      <c r="J309" s="615">
        <f>J308*J304</f>
        <v>0</v>
      </c>
      <c r="K309" s="615">
        <f t="shared" ref="K309:O309" si="118">K308*K304</f>
        <v>0</v>
      </c>
      <c r="L309" s="615">
        <f t="shared" si="118"/>
        <v>6.3872257357489803E-2</v>
      </c>
      <c r="M309" s="615">
        <f>M308*M304</f>
        <v>0.4610863526075093</v>
      </c>
      <c r="N309" s="615">
        <f t="shared" si="118"/>
        <v>5.4933482113472105E-2</v>
      </c>
      <c r="O309" s="615">
        <f t="shared" si="118"/>
        <v>0</v>
      </c>
    </row>
    <row r="310" spans="2:15" ht="6" customHeight="1"/>
    <row r="312" spans="2:15" ht="13">
      <c r="B312">
        <v>2</v>
      </c>
      <c r="C312" s="118" t="s">
        <v>115</v>
      </c>
    </row>
    <row r="313" spans="2:15" ht="13">
      <c r="C313" s="118"/>
      <c r="D313" t="s">
        <v>624</v>
      </c>
      <c r="K313" s="181">
        <f>J315</f>
        <v>200</v>
      </c>
      <c r="L313" s="181">
        <f t="shared" ref="L313:O313" si="119">K315</f>
        <v>175</v>
      </c>
      <c r="M313" s="181">
        <f t="shared" si="119"/>
        <v>150</v>
      </c>
      <c r="N313" s="181">
        <f t="shared" si="119"/>
        <v>125</v>
      </c>
      <c r="O313" s="181">
        <f t="shared" si="119"/>
        <v>100</v>
      </c>
    </row>
    <row r="314" spans="2:15" ht="13">
      <c r="C314" s="118"/>
      <c r="D314" t="s">
        <v>622</v>
      </c>
      <c r="K314" s="422">
        <f>Assumptions!J74</f>
        <v>-25</v>
      </c>
      <c r="L314" s="422">
        <f>Assumptions!K74</f>
        <v>-25</v>
      </c>
      <c r="M314" s="422">
        <f>Assumptions!L74</f>
        <v>-25</v>
      </c>
      <c r="N314" s="422">
        <f>Assumptions!M74</f>
        <v>-25</v>
      </c>
      <c r="O314" s="422">
        <f>Assumptions!N74</f>
        <v>-25</v>
      </c>
    </row>
    <row r="315" spans="2:15" ht="13">
      <c r="C315" s="118"/>
      <c r="D315" t="s">
        <v>609</v>
      </c>
      <c r="I315" s="423"/>
      <c r="J315" s="599">
        <f>J177</f>
        <v>200</v>
      </c>
      <c r="K315" s="600">
        <f>SUM(K313:K314)</f>
        <v>175</v>
      </c>
      <c r="L315" s="600">
        <f t="shared" ref="L315:O315" si="120">SUM(L313:L314)</f>
        <v>150</v>
      </c>
      <c r="M315" s="600">
        <f t="shared" si="120"/>
        <v>125</v>
      </c>
      <c r="N315" s="600">
        <f t="shared" si="120"/>
        <v>100</v>
      </c>
      <c r="O315" s="600">
        <f t="shared" si="120"/>
        <v>75</v>
      </c>
    </row>
    <row r="317" spans="2:15" ht="13" thickBot="1">
      <c r="D317" t="s">
        <v>625</v>
      </c>
      <c r="K317" s="601">
        <f>Assumptions!$N$30</f>
        <v>0.06</v>
      </c>
      <c r="L317" s="601">
        <f>Assumptions!$N$30</f>
        <v>0.06</v>
      </c>
      <c r="M317" s="601">
        <f>Assumptions!$N$30</f>
        <v>0.06</v>
      </c>
      <c r="N317" s="601">
        <f>Assumptions!$N$30</f>
        <v>0.06</v>
      </c>
      <c r="O317" s="601">
        <f>Assumptions!$N$30</f>
        <v>0.06</v>
      </c>
    </row>
    <row r="318" spans="2:15" ht="13.5" thickBot="1">
      <c r="D318" s="118" t="s">
        <v>62</v>
      </c>
      <c r="J318" s="568"/>
      <c r="K318" s="602">
        <f>K317*K313</f>
        <v>12</v>
      </c>
      <c r="L318" s="602">
        <f t="shared" ref="L318:O318" si="121">L317*L313</f>
        <v>10.5</v>
      </c>
      <c r="M318" s="602">
        <f t="shared" si="121"/>
        <v>9</v>
      </c>
      <c r="N318" s="602">
        <f t="shared" si="121"/>
        <v>7.5</v>
      </c>
      <c r="O318" s="602">
        <f t="shared" si="121"/>
        <v>6</v>
      </c>
    </row>
    <row r="319" spans="2:15" ht="6" customHeight="1"/>
    <row r="321" spans="1:15" ht="13">
      <c r="K321" s="185"/>
      <c r="L321" s="185"/>
      <c r="M321" s="185"/>
      <c r="N321" s="185"/>
      <c r="O321" s="185"/>
    </row>
    <row r="322" spans="1:15">
      <c r="D322" s="11"/>
      <c r="E322" s="11"/>
      <c r="F322" s="127"/>
      <c r="G322" s="11"/>
      <c r="H322" s="11"/>
      <c r="I322" s="11"/>
      <c r="J322" s="11"/>
      <c r="K322" s="11"/>
      <c r="L322" s="11"/>
      <c r="M322" s="11"/>
      <c r="N322" s="11"/>
      <c r="O322" s="11"/>
    </row>
    <row r="324" spans="1:15" ht="13">
      <c r="C324" s="118" t="s">
        <v>66</v>
      </c>
      <c r="D324" s="3"/>
      <c r="E324" s="3"/>
      <c r="F324" s="90"/>
      <c r="G324" s="3"/>
      <c r="H324" s="3"/>
      <c r="I324" s="3"/>
      <c r="J324" s="3"/>
      <c r="K324" s="3"/>
      <c r="L324" s="3"/>
      <c r="M324" s="3"/>
      <c r="N324" s="3"/>
      <c r="O324" s="128">
        <f>$O$1</f>
        <v>0</v>
      </c>
    </row>
    <row r="325" spans="1:1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</row>
    <row r="326" spans="1:1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</row>
    <row r="327" spans="1:15" ht="32" customHeight="1">
      <c r="B327" s="1" t="str">
        <f>B$2</f>
        <v xml:space="preserve">Blu Containers Company </v>
      </c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</row>
    <row r="328" spans="1:15" ht="18">
      <c r="B328" s="93" t="s">
        <v>661</v>
      </c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</row>
    <row r="329" spans="1:15" ht="18.5" thickBot="1">
      <c r="A329" s="92"/>
      <c r="B329" s="358"/>
      <c r="C329" s="359"/>
      <c r="D329" s="359"/>
      <c r="E329" s="359"/>
      <c r="F329" s="360"/>
      <c r="G329" s="359"/>
      <c r="H329" s="359"/>
      <c r="I329" s="359"/>
      <c r="J329" s="359"/>
      <c r="K329" s="359"/>
      <c r="L329" s="359"/>
      <c r="M329" s="359"/>
      <c r="N329" s="359"/>
      <c r="O329" s="359"/>
    </row>
    <row r="330" spans="1:15" ht="3" customHeight="1">
      <c r="B330" s="161" t="s">
        <v>143</v>
      </c>
      <c r="F330"/>
      <c r="O330" s="19"/>
    </row>
    <row r="331" spans="1:15" ht="13">
      <c r="D331" t="s">
        <v>143</v>
      </c>
      <c r="F331"/>
      <c r="H331" s="3"/>
      <c r="I331" s="3"/>
      <c r="J331" s="3"/>
      <c r="K331" s="98" t="s">
        <v>2</v>
      </c>
      <c r="L331" s="20"/>
      <c r="M331" s="20"/>
      <c r="N331" s="20"/>
      <c r="O331" s="20"/>
    </row>
    <row r="332" spans="1:15" ht="13">
      <c r="F332"/>
      <c r="G332" s="199"/>
      <c r="H332" s="286"/>
      <c r="I332" s="286"/>
      <c r="J332" s="349">
        <f t="shared" ref="J332:O332" si="122">J$7</f>
        <v>2022</v>
      </c>
      <c r="K332" s="351">
        <f t="shared" si="122"/>
        <v>2023</v>
      </c>
      <c r="L332" s="351">
        <f t="shared" si="122"/>
        <v>2024</v>
      </c>
      <c r="M332" s="351">
        <f t="shared" si="122"/>
        <v>2025</v>
      </c>
      <c r="N332" s="351">
        <f t="shared" si="122"/>
        <v>2026</v>
      </c>
      <c r="O332" s="351">
        <f t="shared" si="122"/>
        <v>2027</v>
      </c>
    </row>
    <row r="333" spans="1:15">
      <c r="C333" t="s">
        <v>121</v>
      </c>
      <c r="G333" s="101"/>
      <c r="K333" s="181"/>
      <c r="L333" s="181"/>
      <c r="M333" s="181"/>
      <c r="N333" s="181"/>
      <c r="O333" s="181"/>
    </row>
    <row r="334" spans="1:15">
      <c r="K334" s="422"/>
      <c r="L334" s="422"/>
      <c r="M334" s="422"/>
      <c r="N334" s="422"/>
      <c r="O334" s="422"/>
    </row>
    <row r="335" spans="1:15" ht="13.4" customHeight="1">
      <c r="B335" s="118"/>
      <c r="C335" s="118" t="s">
        <v>103</v>
      </c>
      <c r="K335" s="421"/>
      <c r="L335" s="421"/>
      <c r="M335" s="421"/>
      <c r="N335" s="421"/>
      <c r="O335" s="421"/>
    </row>
    <row r="336" spans="1:15" ht="13.4" customHeight="1">
      <c r="D336" t="s">
        <v>662</v>
      </c>
      <c r="K336" s="421">
        <f>J338</f>
        <v>120</v>
      </c>
      <c r="L336" s="421">
        <f t="shared" ref="L336:O336" si="123">K338</f>
        <v>120</v>
      </c>
      <c r="M336" s="421">
        <f t="shared" si="123"/>
        <v>120</v>
      </c>
      <c r="N336" s="421">
        <f t="shared" si="123"/>
        <v>120</v>
      </c>
      <c r="O336" s="421">
        <f t="shared" si="123"/>
        <v>120</v>
      </c>
    </row>
    <row r="337" spans="2:15" ht="13.4" customHeight="1">
      <c r="D337" t="s">
        <v>663</v>
      </c>
      <c r="H337" t="s">
        <v>665</v>
      </c>
      <c r="K337" s="608">
        <f>Assumptions!J75</f>
        <v>0</v>
      </c>
      <c r="L337" s="608">
        <f>Assumptions!K75</f>
        <v>0</v>
      </c>
      <c r="M337" s="608">
        <f>Assumptions!L75</f>
        <v>0</v>
      </c>
      <c r="N337" s="608">
        <f>Assumptions!M75</f>
        <v>0</v>
      </c>
      <c r="O337" s="608">
        <f>Assumptions!N75</f>
        <v>0</v>
      </c>
    </row>
    <row r="338" spans="2:15" ht="13.4" customHeight="1">
      <c r="D338" t="s">
        <v>609</v>
      </c>
      <c r="J338" s="421">
        <f>J182</f>
        <v>120</v>
      </c>
      <c r="K338" s="181">
        <f>SUM(K336:K337)</f>
        <v>120</v>
      </c>
      <c r="L338" s="181">
        <f t="shared" ref="L338:O338" si="124">SUM(L336:L337)</f>
        <v>120</v>
      </c>
      <c r="M338" s="181">
        <f t="shared" si="124"/>
        <v>120</v>
      </c>
      <c r="N338" s="181">
        <f t="shared" si="124"/>
        <v>120</v>
      </c>
      <c r="O338" s="181">
        <f t="shared" si="124"/>
        <v>120</v>
      </c>
    </row>
    <row r="339" spans="2:15" ht="12" customHeight="1">
      <c r="D339" s="118"/>
      <c r="K339" s="185"/>
      <c r="L339" s="185"/>
      <c r="M339" s="185"/>
      <c r="N339" s="185"/>
      <c r="O339" s="185"/>
    </row>
    <row r="340" spans="2:15" ht="12" customHeight="1">
      <c r="D340" t="s">
        <v>668</v>
      </c>
      <c r="K340" s="601">
        <f>Assumptions!$N$11</f>
        <v>0.2</v>
      </c>
      <c r="L340" s="601">
        <f>Assumptions!$N$11</f>
        <v>0.2</v>
      </c>
      <c r="M340" s="601">
        <f>Assumptions!$N$11</f>
        <v>0.2</v>
      </c>
      <c r="N340" s="601">
        <f>Assumptions!$N$11</f>
        <v>0.2</v>
      </c>
      <c r="O340" s="601">
        <f>Assumptions!$N$11</f>
        <v>0.2</v>
      </c>
    </row>
    <row r="341" spans="2:15" ht="12" customHeight="1">
      <c r="D341" t="s">
        <v>666</v>
      </c>
      <c r="K341" s="185">
        <f>K104</f>
        <v>29.720973924731165</v>
      </c>
      <c r="L341" s="185">
        <f t="shared" ref="L341:O341" si="125">L104</f>
        <v>12.941703163440867</v>
      </c>
      <c r="M341" s="185">
        <f t="shared" si="125"/>
        <v>39.120589417575928</v>
      </c>
      <c r="N341" s="185">
        <f t="shared" si="125"/>
        <v>33.383444312650809</v>
      </c>
      <c r="O341" s="185">
        <f t="shared" si="125"/>
        <v>19.435214233500037</v>
      </c>
    </row>
    <row r="342" spans="2:15" ht="15" customHeight="1">
      <c r="D342" s="118" t="s">
        <v>667</v>
      </c>
      <c r="K342" s="605">
        <f>MAX(K340*K341, 0)</f>
        <v>5.9441947849462338</v>
      </c>
      <c r="L342" s="605">
        <f t="shared" ref="L342:O342" si="126">MAX(L340*L341, 0)</f>
        <v>2.5883406326881735</v>
      </c>
      <c r="M342" s="605">
        <f t="shared" si="126"/>
        <v>7.8241178835151857</v>
      </c>
      <c r="N342" s="605">
        <f>MAX(N340*N341, 0)</f>
        <v>6.6766888625301624</v>
      </c>
      <c r="O342" s="605">
        <f t="shared" si="126"/>
        <v>3.8870428467000075</v>
      </c>
    </row>
    <row r="343" spans="2:15" ht="12" customHeight="1">
      <c r="D343" s="118"/>
      <c r="K343" s="185"/>
      <c r="L343" s="185"/>
      <c r="M343" s="185"/>
      <c r="N343" s="185"/>
      <c r="O343" s="185"/>
    </row>
    <row r="344" spans="2:15" ht="13.4" customHeight="1">
      <c r="C344" s="118" t="s">
        <v>664</v>
      </c>
    </row>
    <row r="345" spans="2:15" ht="13.4" customHeight="1">
      <c r="D345" t="s">
        <v>662</v>
      </c>
      <c r="K345" s="421">
        <f>J348</f>
        <v>138.50000000000003</v>
      </c>
      <c r="L345" s="421">
        <f>K348</f>
        <v>174.16516870967743</v>
      </c>
      <c r="M345" s="421">
        <f>L348</f>
        <v>189.6952125058065</v>
      </c>
      <c r="N345" s="421">
        <f>M348</f>
        <v>236.63991980689761</v>
      </c>
      <c r="O345" s="421">
        <f>N348</f>
        <v>276.7000529820786</v>
      </c>
    </row>
    <row r="346" spans="2:15" ht="13.4" customHeight="1">
      <c r="C346" s="118"/>
      <c r="D346" t="s">
        <v>666</v>
      </c>
      <c r="K346" s="609">
        <f>K341</f>
        <v>29.720973924731165</v>
      </c>
      <c r="L346" s="609">
        <f t="shared" ref="L346:O346" si="127">L341</f>
        <v>12.941703163440867</v>
      </c>
      <c r="M346" s="609">
        <f t="shared" si="127"/>
        <v>39.120589417575928</v>
      </c>
      <c r="N346" s="609">
        <f t="shared" si="127"/>
        <v>33.383444312650809</v>
      </c>
      <c r="O346" s="609">
        <f t="shared" si="127"/>
        <v>19.435214233500037</v>
      </c>
    </row>
    <row r="347" spans="2:15" ht="13.4" customHeight="1">
      <c r="C347" s="118"/>
      <c r="D347" t="s">
        <v>669</v>
      </c>
      <c r="K347" s="609">
        <f>K342</f>
        <v>5.9441947849462338</v>
      </c>
      <c r="L347" s="609">
        <f t="shared" ref="L347:O347" si="128">L342</f>
        <v>2.5883406326881735</v>
      </c>
      <c r="M347" s="609">
        <f t="shared" si="128"/>
        <v>7.8241178835151857</v>
      </c>
      <c r="N347" s="609">
        <f t="shared" si="128"/>
        <v>6.6766888625301624</v>
      </c>
      <c r="O347" s="609">
        <f t="shared" si="128"/>
        <v>3.8870428467000075</v>
      </c>
    </row>
    <row r="348" spans="2:15" ht="13" thickBot="1">
      <c r="D348" t="s">
        <v>609</v>
      </c>
      <c r="J348" s="181">
        <f>J183</f>
        <v>138.50000000000003</v>
      </c>
      <c r="K348" s="612">
        <f>SUM(K345:K347)</f>
        <v>174.16516870967743</v>
      </c>
      <c r="L348" s="612">
        <f t="shared" ref="L348:O348" si="129">SUM(L345:L347)</f>
        <v>189.6952125058065</v>
      </c>
      <c r="M348" s="612">
        <f t="shared" si="129"/>
        <v>236.63991980689761</v>
      </c>
      <c r="N348" s="612">
        <f t="shared" si="129"/>
        <v>276.7000529820786</v>
      </c>
      <c r="O348" s="612">
        <f t="shared" si="129"/>
        <v>300.02231006227868</v>
      </c>
    </row>
    <row r="349" spans="2:15" ht="13.4" customHeight="1">
      <c r="B349" s="118"/>
      <c r="C349" s="118"/>
    </row>
    <row r="350" spans="2:15" ht="13.4" customHeight="1"/>
    <row r="351" spans="2:15" ht="13.4" customHeight="1"/>
    <row r="352" spans="2:15" ht="13.4" customHeight="1"/>
    <row r="353" ht="13.4" customHeight="1"/>
  </sheetData>
  <sheetProtection formatCells="0" formatColumns="0" formatRows="0" insertColumns="0" insertRows="0"/>
  <phoneticPr fontId="0" type="noConversion"/>
  <printOptions horizontalCentered="1"/>
  <pageMargins left="0.23622047244094491" right="0.23622047244094491" top="0.23622047244094491" bottom="0.51181102362204722" header="0.23622047244094491" footer="0.23622047244094491"/>
  <pageSetup scale="95" orientation="landscape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898D8306A1034782492F3567A273F2" ma:contentTypeVersion="12" ma:contentTypeDescription="Create a new document." ma:contentTypeScope="" ma:versionID="4c5b699968f7936cc9e2b89b7e5f9cbe">
  <xsd:schema xmlns:xsd="http://www.w3.org/2001/XMLSchema" xmlns:xs="http://www.w3.org/2001/XMLSchema" xmlns:p="http://schemas.microsoft.com/office/2006/metadata/properties" xmlns:ns2="90f44690-06d1-49fb-852d-53eb500a6f07" xmlns:ns3="7c7e0179-495a-4ef3-8969-463b3802bcab" targetNamespace="http://schemas.microsoft.com/office/2006/metadata/properties" ma:root="true" ma:fieldsID="dadd706c7ce454de55746a2a3b085249" ns2:_="" ns3:_="">
    <xsd:import namespace="90f44690-06d1-49fb-852d-53eb500a6f07"/>
    <xsd:import namespace="7c7e0179-495a-4ef3-8969-463b3802bca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f44690-06d1-49fb-852d-53eb500a6f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7571d408-0d8c-48a4-adcf-444c1a3db9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7e0179-495a-4ef3-8969-463b3802bca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205484f-7026-451c-87e6-e05ed3f56675}" ma:internalName="TaxCatchAll" ma:showField="CatchAllData" ma:web="7c7e0179-495a-4ef3-8969-463b3802bc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0f44690-06d1-49fb-852d-53eb500a6f07">
      <Terms xmlns="http://schemas.microsoft.com/office/infopath/2007/PartnerControls"/>
    </lcf76f155ced4ddcb4097134ff3c332f>
    <TaxCatchAll xmlns="7c7e0179-495a-4ef3-8969-463b3802bcab" xsi:nil="true"/>
  </documentManagement>
</p:properties>
</file>

<file path=customXml/itemProps1.xml><?xml version="1.0" encoding="utf-8"?>
<ds:datastoreItem xmlns:ds="http://schemas.openxmlformats.org/officeDocument/2006/customXml" ds:itemID="{CE1CBD1B-5025-463F-8D85-C9ABEB45E5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6D96A37-A8FD-4ADB-8E8E-0048166914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f44690-06d1-49fb-852d-53eb500a6f07"/>
    <ds:schemaRef ds:uri="7c7e0179-495a-4ef3-8969-463b3802bc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32BA25-1609-465E-B290-4111C1C1867A}">
  <ds:schemaRefs>
    <ds:schemaRef ds:uri="http://schemas.microsoft.com/office/2006/metadata/properties"/>
    <ds:schemaRef ds:uri="http://schemas.microsoft.com/office/infopath/2007/PartnerControls"/>
    <ds:schemaRef ds:uri="90f44690-06d1-49fb-852d-53eb500a6f07"/>
    <ds:schemaRef ds:uri="7c7e0179-495a-4ef3-8969-463b3802bca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Notes </vt:lpstr>
      <vt:lpstr>Cover</vt:lpstr>
      <vt:lpstr>Summary</vt:lpstr>
      <vt:lpstr>Assumptions</vt:lpstr>
      <vt:lpstr>Scenarios</vt:lpstr>
      <vt:lpstr>Model</vt:lpstr>
      <vt:lpstr>Assumptions!Print_Area</vt:lpstr>
      <vt:lpstr>Cover!Print_Area</vt:lpstr>
      <vt:lpstr>Scenarios!Print_Area</vt:lpstr>
      <vt:lpstr>Summary!Print_Area</vt:lpstr>
    </vt:vector>
  </TitlesOfParts>
  <Company>Financial Modeling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Schnoor</dc:creator>
  <cp:lastModifiedBy>Khashayar Zarekarizi</cp:lastModifiedBy>
  <cp:lastPrinted>2025-05-29T19:03:00Z</cp:lastPrinted>
  <dcterms:created xsi:type="dcterms:W3CDTF">2018-03-28T17:44:41Z</dcterms:created>
  <dcterms:modified xsi:type="dcterms:W3CDTF">2025-06-05T23:56:18Z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0x01010023898D8306A1034782492F3567A273F2</vt:lpwstr>
  </property>
</Properties>
</file>